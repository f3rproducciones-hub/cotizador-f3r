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 Comercial F3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000000"/>
      <sz val="9"/>
    </font>
    <font>
      <name val="Arial"/>
      <b val="1"/>
      <color rgb="00FFFFFF"/>
      <sz val="9.5"/>
    </font>
    <font>
      <name val="Arial"/>
      <sz val="8.5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D4AF37"/>
      </patternFill>
    </fill>
    <fill>
      <patternFill patternType="solid">
        <fgColor rgb="001E293B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D4AF37"/>
      </left>
      <right style="medium">
        <color rgb="00D4AF37"/>
      </right>
      <top style="medium">
        <color rgb="00D4AF37"/>
      </top>
      <bottom style="medium">
        <color rgb="00D4AF3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left"/>
    </xf>
    <xf numFmtId="0" fontId="3" fillId="4" borderId="1" applyAlignment="1" pivotButton="0" quotePrefix="0" xfId="0">
      <alignment horizontal="right"/>
    </xf>
    <xf numFmtId="0" fontId="4" fillId="0" borderId="1" pivotButton="0" quotePrefix="0" xfId="0"/>
    <xf numFmtId="164" fontId="4" fillId="0" borderId="1" pivotButton="0" quotePrefix="0" xfId="0"/>
    <xf numFmtId="0" fontId="5" fillId="3" borderId="2" applyAlignment="1" pivotButton="0" quotePrefix="0" xfId="0">
      <alignment horizontal="right"/>
    </xf>
    <xf numFmtId="0" fontId="0" fillId="0" borderId="2" pivotButton="0" quotePrefix="0" xfId="0"/>
    <xf numFmtId="164" fontId="5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53" customWidth="1" min="2" max="2"/>
    <col width="17" customWidth="1" min="3" max="3"/>
    <col width="30" customWidth="1" min="4" max="4"/>
    <col width="16" customWidth="1" min="5" max="5"/>
    <col width="26" customWidth="1" min="6" max="6"/>
    <col width="15" customWidth="1" min="7" max="7"/>
    <col width="18" customWidth="1" min="8" max="8"/>
    <col width="21" customWidth="1" min="9" max="9"/>
    <col width="15" customWidth="1" min="10" max="10"/>
    <col width="17" customWidth="1" min="11" max="11"/>
  </cols>
  <sheetData>
    <row r="1">
      <c r="A1" s="1" t="inlineStr">
        <is>
          <t>F3R PRODUCCIONES S.A.S. — CONSOLIDADO COMERCIAL &amp; CRM</t>
        </is>
      </c>
    </row>
    <row r="2"/>
    <row r="3">
      <c r="A3" s="2" t="inlineStr">
        <is>
          <t>REPORTE GENERAL GENERADO EL: 2026-10-10 08:32:11</t>
        </is>
      </c>
    </row>
    <row r="4"/>
    <row r="5">
      <c r="A5" s="3" t="inlineStr">
        <is>
          <t>Código</t>
        </is>
      </c>
      <c r="B5" s="4" t="inlineStr">
        <is>
          <t>Cliente</t>
        </is>
      </c>
      <c r="C5" s="4" t="inlineStr">
        <is>
          <t>NIT</t>
        </is>
      </c>
      <c r="D5" s="4" t="inlineStr">
        <is>
          <t>Nombre Evento</t>
        </is>
      </c>
      <c r="E5" s="3" t="inlineStr">
        <is>
          <t>Fecha Evento</t>
        </is>
      </c>
      <c r="F5" s="3" t="inlineStr">
        <is>
          <t>Estado CRM</t>
        </is>
      </c>
      <c r="G5" s="5" t="inlineStr">
        <is>
          <t>Venta Total</t>
        </is>
      </c>
      <c r="H5" s="5" t="inlineStr">
        <is>
          <t>Costo Previsto</t>
        </is>
      </c>
      <c r="I5" s="5" t="inlineStr">
        <is>
          <t>Utilidad Prevista</t>
        </is>
      </c>
      <c r="J5" s="5" t="inlineStr">
        <is>
          <t>Costo Real</t>
        </is>
      </c>
      <c r="K5" s="5" t="inlineStr">
        <is>
          <t>Utilidad Real</t>
        </is>
      </c>
    </row>
    <row r="6">
      <c r="A6" s="6" t="inlineStr">
        <is>
          <t>V1-1009</t>
        </is>
      </c>
      <c r="B6" s="6" t="inlineStr">
        <is>
          <t>ESCUELA NAVAL DE CADETES ALMIRANTE PADILLA - ENAP</t>
        </is>
      </c>
      <c r="C6" s="6" t="inlineStr">
        <is>
          <t>800.141.648-9</t>
        </is>
      </c>
      <c r="D6" s="6" t="inlineStr">
        <is>
          <t>Family Day ENAP 2026</t>
        </is>
      </c>
      <c r="E6" s="6" t="inlineStr">
        <is>
          <t>2026-10-18</t>
        </is>
      </c>
      <c r="F6" s="6" t="inlineStr">
        <is>
          <t>Ganado / Montaje</t>
        </is>
      </c>
      <c r="G6" s="7" t="n">
        <v>63040000</v>
      </c>
      <c r="H6" s="7" t="n">
        <v>55449990</v>
      </c>
      <c r="I6" s="7" t="n">
        <v>7590010</v>
      </c>
      <c r="J6" s="7" t="n">
        <v>55450000</v>
      </c>
      <c r="K6" s="7" t="n">
        <v>7590000</v>
      </c>
    </row>
    <row r="7">
      <c r="A7" s="6" t="inlineStr">
        <is>
          <t>C-V1-9001</t>
        </is>
      </c>
      <c r="B7" s="6" t="inlineStr">
        <is>
          <t>Lorcy Atencio</t>
        </is>
      </c>
      <c r="C7" s="6" t="inlineStr">
        <is>
          <t>1048935287</t>
        </is>
      </c>
      <c r="D7" s="6" t="inlineStr">
        <is>
          <t>Cumpleaños de Lorcy PRUEBA</t>
        </is>
      </c>
      <c r="E7" s="6" t="inlineStr">
        <is>
          <t>2026-10-09</t>
        </is>
      </c>
      <c r="F7" s="6" t="inlineStr">
        <is>
          <t>Cotizado / Negociación</t>
        </is>
      </c>
      <c r="G7" s="7" t="n">
        <v>3250000</v>
      </c>
      <c r="H7" s="7" t="n">
        <v>2090000</v>
      </c>
      <c r="I7" s="7" t="n">
        <v>1160000</v>
      </c>
      <c r="J7" s="7" t="n">
        <v>0</v>
      </c>
      <c r="K7" s="7" t="n">
        <v>1160000</v>
      </c>
    </row>
    <row r="8">
      <c r="A8" s="6" t="inlineStr">
        <is>
          <t>COT-10092310</t>
        </is>
      </c>
      <c r="B8" s="6" t="inlineStr">
        <is>
          <t>Open Sea</t>
        </is>
      </c>
      <c r="C8" s="6" t="inlineStr">
        <is>
          <t>1048935287</t>
        </is>
      </c>
      <c r="D8" s="6" t="inlineStr">
        <is>
          <t xml:space="preserve">Cumpleaños de </t>
        </is>
      </c>
      <c r="E8" s="6" t="inlineStr">
        <is>
          <t>2026-10-18</t>
        </is>
      </c>
      <c r="F8" s="6" t="inlineStr">
        <is>
          <t>Ganado / Montaje</t>
        </is>
      </c>
      <c r="G8" s="7" t="n">
        <v>63040000</v>
      </c>
      <c r="H8" s="7" t="n">
        <v>57793026</v>
      </c>
      <c r="I8" s="7" t="n">
        <v>5246974</v>
      </c>
      <c r="J8" s="7" t="n">
        <v>55450000</v>
      </c>
      <c r="K8" s="7" t="n">
        <v>7590000</v>
      </c>
    </row>
    <row r="9">
      <c r="A9" s="8" t="inlineStr">
        <is>
          <t>TOTALES DE CARTERA COMERCIAL:</t>
        </is>
      </c>
      <c r="B9" s="9" t="n"/>
      <c r="C9" s="9" t="n"/>
      <c r="D9" s="9" t="n"/>
      <c r="E9" s="9" t="n"/>
      <c r="F9" s="9" t="n"/>
      <c r="G9" s="10">
        <f>SUM(G6:G8)</f>
        <v/>
      </c>
      <c r="H9" s="10">
        <f>SUM(H6:H8)</f>
        <v/>
      </c>
      <c r="I9" s="10">
        <f>SUM(I6:I8)</f>
        <v/>
      </c>
      <c r="J9" s="10">
        <f>SUM(J6:J8)</f>
        <v/>
      </c>
      <c r="K9" s="10">
        <f>SUM(K6:K8)</f>
        <v/>
      </c>
    </row>
  </sheetData>
  <mergeCells count="3">
    <mergeCell ref="A1:K2"/>
    <mergeCell ref="A9:F9"/>
    <mergeCell ref="A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2026-10-10T13:32:11Z</dcterms:created>
  <dcterms:modified xmlns:dcterms="http://purl.org/dc/terms/" xmlns:xsi="http://www.w3.org/2001/XMLSchema-instance" xsi:type="dcterms:W3CDTF">2026-10-10T13:32:11Z</dcterms:modified>
</cp:coreProperties>
</file>