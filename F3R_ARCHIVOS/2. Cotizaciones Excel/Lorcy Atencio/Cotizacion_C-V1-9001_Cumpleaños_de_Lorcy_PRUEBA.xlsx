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uesta Comercial" sheetId="1" state="visible" r:id="rId1"/>
    <sheet xmlns:r="http://schemas.openxmlformats.org/officeDocument/2006/relationships" name="Matriz de Costos Inter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9"/>
    </font>
    <font>
      <name val="Arial"/>
      <b val="1"/>
      <color rgb="00D4AF37"/>
      <sz val="10"/>
    </font>
    <font>
      <name val="Arial"/>
      <b val="1"/>
      <color rgb="000F172A"/>
      <sz val="8.5"/>
    </font>
    <font>
      <name val="Arial"/>
      <color rgb="000F172A"/>
      <sz val="8.5"/>
    </font>
    <font>
      <name val="Arial"/>
      <b val="1"/>
      <color rgb="00FFFFFF"/>
      <sz val="9.5"/>
    </font>
    <font>
      <name val="Arial"/>
      <b val="1"/>
      <color rgb="00D4AF37"/>
      <sz val="9"/>
    </font>
    <font>
      <name val="Arial"/>
      <b val="1"/>
      <color rgb="000F172A"/>
      <sz val="9"/>
    </font>
    <font>
      <name val="Arial"/>
      <b val="1"/>
      <color rgb="000F172A"/>
      <sz val="10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color rgb="000F172A"/>
      <sz val="7.5"/>
    </font>
    <font>
      <name val="Arial"/>
      <color rgb="0064748B"/>
      <sz val="8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8.5"/>
    </font>
    <font>
      <name val="Arial"/>
      <b val="1"/>
      <color rgb="00000000"/>
      <sz val="10"/>
    </font>
    <font>
      <name val="Arial"/>
      <b val="1"/>
      <sz val="10"/>
    </font>
    <font>
      <name val="Arial"/>
      <b val="1"/>
      <color rgb="00059669"/>
      <sz val="10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rgb="00D4AF37"/>
        <bgColor rgb="00D4AF37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D4AF37"/>
      </patternFill>
    </fill>
    <fill>
      <patternFill patternType="solid">
        <fgColor rgb="001E293B"/>
      </patternFill>
    </fill>
  </fills>
  <borders count="3">
    <border>
      <left/>
      <right/>
      <top/>
      <bottom/>
      <diagonal/>
    </border>
    <border>
      <left style="medium">
        <color rgb="00D4AF37"/>
      </left>
      <right style="medium">
        <color rgb="00D4AF37"/>
      </right>
      <top style="medium">
        <color rgb="00D4AF37"/>
      </top>
      <bottom style="medium">
        <color rgb="00D4AF3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/>
    </xf>
    <xf numFmtId="0" fontId="5" fillId="4" borderId="2" pivotButton="0" quotePrefix="0" xfId="0"/>
    <xf numFmtId="164" fontId="5" fillId="4" borderId="2" pivotButton="0" quotePrefix="0" xfId="0"/>
    <xf numFmtId="0" fontId="8" fillId="5" borderId="2" applyAlignment="1" pivotButton="0" quotePrefix="0" xfId="0">
      <alignment horizontal="right" vertical="center"/>
    </xf>
    <xf numFmtId="0" fontId="0" fillId="0" borderId="2" pivotButton="0" quotePrefix="0" xfId="0"/>
    <xf numFmtId="164" fontId="8" fillId="5" borderId="2" pivotButton="0" quotePrefix="0" xfId="0"/>
    <xf numFmtId="0" fontId="9" fillId="5" borderId="2" applyAlignment="1" pivotButton="0" quotePrefix="0" xfId="0">
      <alignment horizontal="right" vertical="center"/>
    </xf>
    <xf numFmtId="164" fontId="9" fillId="5" borderId="2" pivotButton="0" quotePrefix="0" xfId="0"/>
    <xf numFmtId="0" fontId="10" fillId="6" borderId="1" applyAlignment="1" pivotButton="0" quotePrefix="0" xfId="0">
      <alignment horizontal="right" vertical="center"/>
    </xf>
    <xf numFmtId="0" fontId="0" fillId="0" borderId="1" pivotButton="0" quotePrefix="0" xfId="0"/>
    <xf numFmtId="164" fontId="11" fillId="6" borderId="1" pivotButton="0" quotePrefix="0" xfId="0"/>
    <xf numFmtId="0" fontId="7" fillId="2" borderId="0" pivotButton="0" quotePrefix="0" xfId="0"/>
    <xf numFmtId="0" fontId="12" fillId="0" borderId="0" pivotButton="0" quotePrefix="0" xfId="0"/>
    <xf numFmtId="0" fontId="8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/>
    </xf>
    <xf numFmtId="0" fontId="15" fillId="7" borderId="2" applyAlignment="1" pivotButton="0" quotePrefix="0" xfId="0">
      <alignment horizontal="left"/>
    </xf>
    <xf numFmtId="0" fontId="15" fillId="7" borderId="2" applyAlignment="1" pivotButton="0" quotePrefix="0" xfId="0">
      <alignment horizontal="right"/>
    </xf>
    <xf numFmtId="0" fontId="16" fillId="0" borderId="2" pivotButton="0" quotePrefix="0" xfId="0"/>
    <xf numFmtId="164" fontId="16" fillId="0" borderId="2" pivotButton="0" quotePrefix="0" xfId="0"/>
    <xf numFmtId="0" fontId="17" fillId="6" borderId="1" applyAlignment="1" pivotButton="0" quotePrefix="0" xfId="0">
      <alignment horizontal="right"/>
    </xf>
    <xf numFmtId="164" fontId="18" fillId="6" borderId="1" pivotButton="0" quotePrefix="0" xfId="0"/>
    <xf numFmtId="0" fontId="0" fillId="6" borderId="1" applyAlignment="1" pivotButton="0" quotePrefix="0" xfId="0">
      <alignment horizontal="center"/>
    </xf>
    <xf numFmtId="164" fontId="19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24" customWidth="1" min="4" max="4"/>
    <col width="24" customWidth="1" min="5" max="5"/>
  </cols>
  <sheetData>
    <row r="1">
      <c r="A1" s="1" t="inlineStr">
        <is>
          <t>F3R PRODUCCIONES S.A.S. — PROPUESTA COMERCIAL</t>
        </is>
      </c>
    </row>
    <row r="2"/>
    <row r="3">
      <c r="A3" s="2" t="inlineStr">
        <is>
          <t>COTIZACIÓN OFICIAL: C-V1-9001  |  FECHA: 2026-10-09  |  MONEDA: COP</t>
        </is>
      </c>
    </row>
    <row r="5">
      <c r="A5" s="3" t="inlineStr">
        <is>
          <t>DATOS DEL CLIENTE</t>
        </is>
      </c>
      <c r="C5" s="3" t="inlineStr">
        <is>
          <t>EMPRESA EMISORA &amp; CONDICIONES</t>
        </is>
      </c>
    </row>
    <row r="6">
      <c r="A6" s="4" t="inlineStr">
        <is>
          <t>Cliente / Razón Social:</t>
        </is>
      </c>
      <c r="B6" s="5" t="inlineStr">
        <is>
          <t>Lorcy Atencio</t>
        </is>
      </c>
      <c r="C6" s="4" t="inlineStr">
        <is>
          <t>Razón Social:</t>
        </is>
      </c>
      <c r="D6" s="5" t="inlineStr">
        <is>
          <t>F3R PRODUCCIONES S.A.S. (NIT 902106670-3)</t>
        </is>
      </c>
    </row>
    <row r="7">
      <c r="A7" s="4" t="inlineStr">
        <is>
          <t>NIT / Documento:</t>
        </is>
      </c>
      <c r="B7" s="5" t="inlineStr">
        <is>
          <t>1048935287</t>
        </is>
      </c>
      <c r="C7" s="4" t="inlineStr">
        <is>
          <t>Atención Comercial:</t>
        </is>
      </c>
      <c r="D7" s="5" t="inlineStr">
        <is>
          <t>Francisco Ricaurte — WhatsApp: +57 333 434 0735</t>
        </is>
      </c>
    </row>
    <row r="8">
      <c r="A8" s="4" t="inlineStr">
        <is>
          <t>Nombre del Evento:</t>
        </is>
      </c>
      <c r="B8" s="5" t="inlineStr">
        <is>
          <t>Cumpleaños de Lorcy PRUEBA</t>
        </is>
      </c>
      <c r="C8" s="4" t="inlineStr">
        <is>
          <t>Correo / Instagram:</t>
        </is>
      </c>
      <c r="D8" s="5" t="inlineStr">
        <is>
          <t>f3rproducciones@gmail.com | @f3rproducciones</t>
        </is>
      </c>
    </row>
    <row r="9">
      <c r="A9" s="4" t="inlineStr">
        <is>
          <t>Lugar / Locación:</t>
        </is>
      </c>
      <c r="B9" s="5" t="inlineStr">
        <is>
          <t>Zona Social VERONA</t>
        </is>
      </c>
      <c r="C9" s="4" t="inlineStr">
        <is>
          <t>Dirección:</t>
        </is>
      </c>
      <c r="D9" s="5" t="inlineStr">
        <is>
          <t>Cartagena de Indias Diagonal 31 80B75 Of 501</t>
        </is>
      </c>
    </row>
    <row r="10">
      <c r="A10" s="4" t="inlineStr">
        <is>
          <t>Aforo Estimado:</t>
        </is>
      </c>
      <c r="B10" s="5" t="inlineStr">
        <is>
          <t>100 personas</t>
        </is>
      </c>
      <c r="C10" s="4" t="inlineStr">
        <is>
          <t>Forma de Pago:</t>
        </is>
      </c>
      <c r="D10" s="5" t="inlineStr">
        <is>
          <t>CONTADO</t>
        </is>
      </c>
    </row>
    <row r="11">
      <c r="A11" s="4" t="inlineStr">
        <is>
          <t>Fecha del Evento:</t>
        </is>
      </c>
      <c r="B11" s="5" t="inlineStr">
        <is>
          <t>2026-10-09</t>
        </is>
      </c>
      <c r="C11" s="4" t="inlineStr">
        <is>
          <t>Cuenta Bancaria:</t>
        </is>
      </c>
      <c r="D11" s="5" t="inlineStr">
        <is>
          <t>Cuenta de Ahorros Bancolombia # 788 000 169-77</t>
        </is>
      </c>
    </row>
    <row r="13">
      <c r="A13" s="6" t="inlineStr">
        <is>
          <t>Item</t>
        </is>
      </c>
      <c r="B13" s="7" t="inlineStr">
        <is>
          <t>Descripción del Servicio</t>
        </is>
      </c>
      <c r="C13" s="6" t="inlineStr">
        <is>
          <t>Cantidad</t>
        </is>
      </c>
      <c r="D13" s="8" t="inlineStr">
        <is>
          <t>Valor Unitario (COP)</t>
        </is>
      </c>
      <c r="E13" s="8" t="inlineStr">
        <is>
          <t>Valor Total (COP)</t>
        </is>
      </c>
    </row>
    <row r="14">
      <c r="A14" s="9" t="inlineStr">
        <is>
          <t xml:space="preserve">  CATEGORÍA: SONIDO</t>
        </is>
      </c>
    </row>
    <row r="15">
      <c r="A15" s="10" t="n">
        <v>1</v>
      </c>
      <c r="B15" s="11" t="inlineStr">
        <is>
          <t>Sistema de sonido tipo barra PRO DJ L618A</t>
        </is>
      </c>
      <c r="C15" s="10" t="n">
        <v>4</v>
      </c>
      <c r="D15" s="12" t="n">
        <v>250000</v>
      </c>
      <c r="E15" s="12">
        <f>C15*D15</f>
        <v/>
      </c>
    </row>
    <row r="16">
      <c r="A16" s="13" t="inlineStr">
        <is>
          <t>Subtotal SONIDO:</t>
        </is>
      </c>
      <c r="B16" s="14" t="n"/>
      <c r="C16" s="14" t="n"/>
      <c r="D16" s="14" t="n"/>
      <c r="E16" s="15">
        <f>SUM(E15:E15)</f>
        <v/>
      </c>
    </row>
    <row r="17">
      <c r="A17" s="9" t="inlineStr">
        <is>
          <t xml:space="preserve">  CATEGORÍA: ESTRUCTURA</t>
        </is>
      </c>
    </row>
    <row r="18">
      <c r="A18" s="10" t="n">
        <v>1</v>
      </c>
      <c r="B18" s="11" t="inlineStr">
        <is>
          <t>Tarima en charolina blanca de 4,88x4,88mts a 60cm de altura</t>
        </is>
      </c>
      <c r="C18" s="10" t="n">
        <v>1</v>
      </c>
      <c r="D18" s="12" t="n">
        <v>1500000</v>
      </c>
      <c r="E18" s="12">
        <f>C18*D18</f>
        <v/>
      </c>
    </row>
    <row r="19">
      <c r="A19" s="13" t="inlineStr">
        <is>
          <t>Subtotal ESTRUCTURA:</t>
        </is>
      </c>
      <c r="B19" s="14" t="n"/>
      <c r="C19" s="14" t="n"/>
      <c r="D19" s="14" t="n"/>
      <c r="E19" s="15">
        <f>SUM(E18:E18)</f>
        <v/>
      </c>
    </row>
    <row r="20">
      <c r="A20" s="9" t="inlineStr">
        <is>
          <t xml:space="preserve">  CATEGORÍA: PERSONAL &amp; STAFF</t>
        </is>
      </c>
    </row>
    <row r="21">
      <c r="A21" s="10" t="n">
        <v>1</v>
      </c>
      <c r="B21" s="11" t="inlineStr">
        <is>
          <t>Tecnico de Sonido</t>
        </is>
      </c>
      <c r="C21" s="10" t="n">
        <v>1</v>
      </c>
      <c r="D21" s="12" t="n">
        <v>350000</v>
      </c>
      <c r="E21" s="12">
        <f>C21*D21</f>
        <v/>
      </c>
    </row>
    <row r="22">
      <c r="A22" s="13" t="inlineStr">
        <is>
          <t>Subtotal PERSONAL &amp; STAFF:</t>
        </is>
      </c>
      <c r="B22" s="14" t="n"/>
      <c r="C22" s="14" t="n"/>
      <c r="D22" s="14" t="n"/>
      <c r="E22" s="15">
        <f>SUM(E21:E21)</f>
        <v/>
      </c>
    </row>
    <row r="23">
      <c r="A23" s="9" t="inlineStr">
        <is>
          <t xml:space="preserve">  CATEGORÍA: GASTO OPERATIVO Y TRANSPORTE DE EQUIPOS</t>
        </is>
      </c>
    </row>
    <row r="24">
      <c r="A24" s="10" t="n">
        <v>1</v>
      </c>
      <c r="B24" s="11" t="inlineStr">
        <is>
          <t>Transporte de personal y equipos</t>
        </is>
      </c>
      <c r="C24" s="10" t="n">
        <v>1</v>
      </c>
      <c r="D24" s="12" t="n">
        <v>400000</v>
      </c>
      <c r="E24" s="12">
        <f>C24*D24</f>
        <v/>
      </c>
    </row>
    <row r="25">
      <c r="A25" s="13" t="inlineStr">
        <is>
          <t>Subtotal GASTO OPERATIVO Y TRANSPORTE DE EQUIPOS:</t>
        </is>
      </c>
      <c r="B25" s="14" t="n"/>
      <c r="C25" s="14" t="n"/>
      <c r="D25" s="14" t="n"/>
      <c r="E25" s="15">
        <f>SUM(E24:E24)</f>
        <v/>
      </c>
    </row>
    <row r="27">
      <c r="C27" s="16" t="inlineStr">
        <is>
          <t>SUBTOTAL SERVICIOS:</t>
        </is>
      </c>
      <c r="D27" s="14" t="n"/>
      <c r="E27" s="17">
        <f>E16+E19+E22+E25</f>
        <v/>
      </c>
    </row>
    <row r="28">
      <c r="C28" s="18" t="inlineStr">
        <is>
          <t>VALOR TOTAL PROPUESTA:</t>
        </is>
      </c>
      <c r="D28" s="19" t="n"/>
      <c r="E28" s="20">
        <f>E27</f>
        <v/>
      </c>
    </row>
    <row r="30">
      <c r="A30" s="21" t="inlineStr">
        <is>
          <t>CONDICIONES COMERCIALES Y DE CONTRATACIÓN F3R PRODUCCIONES S.A.S.</t>
        </is>
      </c>
    </row>
    <row r="31">
      <c r="A31" s="22" t="inlineStr">
        <is>
          <t>1. Vigencia: Esta propuesta tiene la vigencia indicada en la cotización y está sujeta a disponibilidad de fecha, equipos y personal.</t>
        </is>
      </c>
    </row>
    <row r="32">
      <c r="A32" s="22" t="inlineStr">
        <is>
          <t>2. Reserva: La fecha se garantiza únicamente con la aceptación de la propuesta y el pago del anticipo acordado.</t>
        </is>
      </c>
    </row>
    <row r="33">
      <c r="A33" s="22" t="inlineStr">
        <is>
          <t>3. Pagos: Los pagos deberán realizarse en las fechas establecidas. El incumplimiento podrá generar suspensión del servicio y/o cobro de intereses de mora.</t>
        </is>
      </c>
    </row>
    <row r="34">
      <c r="A34" s="22" t="inlineStr">
        <is>
          <t>4. Cancelaciones: En caso de cancelación por parte del cliente, el anticipo no será reembolsable por las reservas y compromisos de F3R.</t>
        </is>
      </c>
    </row>
    <row r="35">
      <c r="A35" s="22" t="inlineStr">
        <is>
          <t>5. Reprogramaciones: Todo cambio de fecha estará sujeto a disponibilidad y podrá generar costos adicionales.</t>
        </is>
      </c>
    </row>
    <row r="36">
      <c r="A36" s="22" t="inlineStr">
        <is>
          <t>6. Servicios adicionales: Cualquier modificación, ampliación de horario o requerimiento extra será cotizado por separado.</t>
        </is>
      </c>
    </row>
    <row r="37">
      <c r="A37" s="22" t="inlineStr">
        <is>
          <t>7. Montaje y logística: Permisos, transporte no estipulado, parqueaderos y gastos extraordinarios serán asumidos por el cliente.</t>
        </is>
      </c>
    </row>
    <row r="38">
      <c r="A38" s="22" t="inlineStr">
        <is>
          <t>8. Equipos: El cliente será responsable por daños o pérdidas ocasionados por causas atribuibles al cliente o terceros bajo su responsabilidad.</t>
        </is>
      </c>
    </row>
    <row r="39">
      <c r="A39" s="22" t="inlineStr">
        <is>
          <t>9. Lugar del evento: El cliente garantizará las condiciones de acceso, seguridad, espacio, energía y requerimientos de montaje.</t>
        </is>
      </c>
    </row>
    <row r="40">
      <c r="A40" s="22" t="inlineStr">
        <is>
          <t>10. Fuerza mayor: F3R no será responsable por retrasos derivados de hechos imprevisibles fuera de su control.</t>
        </is>
      </c>
    </row>
    <row r="41">
      <c r="A41" s="22" t="inlineStr">
        <is>
          <t>11. Responsabilidad: F3R responderá exclusivamente por los servicios expresamente contratados en esta propuesta.</t>
        </is>
      </c>
    </row>
    <row r="42">
      <c r="A42" s="22" t="inlineStr">
        <is>
          <t>12. Aceptación: La aprobación de la cotización, firma, pago del anticipo o confirmación escrita implica la aceptación de estas condiciones.</t>
        </is>
      </c>
    </row>
    <row r="45">
      <c r="A45" s="23" t="inlineStr">
        <is>
          <t>Francisco Ricaurte</t>
        </is>
      </c>
      <c r="D45" s="23" t="inlineStr">
        <is>
          <t>ACEPTADO: Lorcy Atencio</t>
        </is>
      </c>
    </row>
    <row r="46">
      <c r="A46" s="24" t="inlineStr">
        <is>
          <t>Gerente — F3R Producciones S.A.S.
WhatsApp +57 333 434 0735
f3rproducciones@gmail.com</t>
        </is>
      </c>
      <c r="D46" s="24" t="inlineStr">
        <is>
          <t>NIT / C.C.: 1048935287
Firma Autorizada / Sello de Aceptación</t>
        </is>
      </c>
    </row>
  </sheetData>
  <mergeCells count="37">
    <mergeCell ref="A30:E30"/>
    <mergeCell ref="A39:E39"/>
    <mergeCell ref="A34:E34"/>
    <mergeCell ref="D10:E10"/>
    <mergeCell ref="A22:D22"/>
    <mergeCell ref="A45:B45"/>
    <mergeCell ref="D46:E46"/>
    <mergeCell ref="A19:D19"/>
    <mergeCell ref="A36:E36"/>
    <mergeCell ref="D45:E45"/>
    <mergeCell ref="D6:E6"/>
    <mergeCell ref="D11:E11"/>
    <mergeCell ref="A41:E41"/>
    <mergeCell ref="A46:B46"/>
    <mergeCell ref="A37:E37"/>
    <mergeCell ref="A3:E3"/>
    <mergeCell ref="D7:E7"/>
    <mergeCell ref="A42:E42"/>
    <mergeCell ref="C27:D27"/>
    <mergeCell ref="A5:B5"/>
    <mergeCell ref="A33:E33"/>
    <mergeCell ref="A25:D25"/>
    <mergeCell ref="A23:E23"/>
    <mergeCell ref="A1:E2"/>
    <mergeCell ref="A16:D16"/>
    <mergeCell ref="A14:E14"/>
    <mergeCell ref="A32:E32"/>
    <mergeCell ref="D9:E9"/>
    <mergeCell ref="A17:E17"/>
    <mergeCell ref="D8:E8"/>
    <mergeCell ref="A35:E35"/>
    <mergeCell ref="A20:E20"/>
    <mergeCell ref="C5:E5"/>
    <mergeCell ref="A38:E38"/>
    <mergeCell ref="C28:D28"/>
    <mergeCell ref="A31:E31"/>
    <mergeCell ref="A40:E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5" customWidth="1" min="3" max="3"/>
    <col width="8" customWidth="1" min="4" max="4"/>
    <col width="18" customWidth="1" min="5" max="5"/>
    <col width="20" customWidth="1" min="6" max="6"/>
    <col width="18" customWidth="1" min="7" max="7"/>
    <col width="20" customWidth="1" min="8" max="8"/>
    <col width="20" customWidth="1" min="9" max="9"/>
  </cols>
  <sheetData>
    <row r="1">
      <c r="A1" s="25" t="inlineStr">
        <is>
          <t>MATRIZ DE COSTOS Y MARGEN INTERNO — C-V1-9001 (Lorcy Atencio)</t>
        </is>
      </c>
    </row>
    <row r="2"/>
    <row r="4">
      <c r="A4" s="26" t="inlineStr">
        <is>
          <t>Item</t>
        </is>
      </c>
      <c r="B4" s="27" t="inlineStr">
        <is>
          <t>Categoría</t>
        </is>
      </c>
      <c r="C4" s="27" t="inlineStr">
        <is>
          <t>Descripción del Servicio</t>
        </is>
      </c>
      <c r="D4" s="26" t="inlineStr">
        <is>
          <t>Cant</t>
        </is>
      </c>
      <c r="E4" s="28" t="inlineStr">
        <is>
          <t>Costo Unit (COP)</t>
        </is>
      </c>
      <c r="F4" s="28" t="inlineStr">
        <is>
          <t>Costo Total (COP)</t>
        </is>
      </c>
      <c r="G4" s="28" t="inlineStr">
        <is>
          <t>Venta Unit (COP)</t>
        </is>
      </c>
      <c r="H4" s="28" t="inlineStr">
        <is>
          <t>Venta Total (COP)</t>
        </is>
      </c>
      <c r="I4" s="28" t="inlineStr">
        <is>
          <t>Utilidad Neta</t>
        </is>
      </c>
    </row>
    <row r="5">
      <c r="A5" s="29" t="n">
        <v>1</v>
      </c>
      <c r="B5" s="29" t="inlineStr">
        <is>
          <t>SONIDO</t>
        </is>
      </c>
      <c r="C5" s="29" t="inlineStr">
        <is>
          <t>Sistema de sonido tipo barra PRO DJ L618A</t>
        </is>
      </c>
      <c r="D5" s="29" t="n">
        <v>4</v>
      </c>
      <c r="E5" s="30" t="n">
        <v>150000</v>
      </c>
      <c r="F5" s="30">
        <f>D5*E5</f>
        <v/>
      </c>
      <c r="G5" s="30" t="n">
        <v>250000</v>
      </c>
      <c r="H5" s="30">
        <f>D5*G5</f>
        <v/>
      </c>
      <c r="I5" s="30">
        <f>H5-F5</f>
        <v/>
      </c>
    </row>
    <row r="6">
      <c r="A6" s="29" t="n">
        <v>2</v>
      </c>
      <c r="B6" s="29" t="inlineStr">
        <is>
          <t>ESTRUCTURA</t>
        </is>
      </c>
      <c r="C6" s="29" t="inlineStr">
        <is>
          <t>Tarima en charolina blanca de 4,88x4,88mts a 60cm de altura</t>
        </is>
      </c>
      <c r="D6" s="29" t="n">
        <v>1</v>
      </c>
      <c r="E6" s="30" t="n">
        <v>1000000</v>
      </c>
      <c r="F6" s="30">
        <f>D6*E6</f>
        <v/>
      </c>
      <c r="G6" s="30" t="n">
        <v>1500000</v>
      </c>
      <c r="H6" s="30">
        <f>D6*G6</f>
        <v/>
      </c>
      <c r="I6" s="30">
        <f>H6-F6</f>
        <v/>
      </c>
    </row>
    <row r="7">
      <c r="A7" s="29" t="n">
        <v>3</v>
      </c>
      <c r="B7" s="29" t="inlineStr">
        <is>
          <t>PERSONAL &amp; STAFF</t>
        </is>
      </c>
      <c r="C7" s="29" t="inlineStr">
        <is>
          <t>Tecnico de Sonido</t>
        </is>
      </c>
      <c r="D7" s="29" t="n">
        <v>1</v>
      </c>
      <c r="E7" s="30" t="n">
        <v>250000</v>
      </c>
      <c r="F7" s="30">
        <f>D7*E7</f>
        <v/>
      </c>
      <c r="G7" s="30" t="n">
        <v>350000</v>
      </c>
      <c r="H7" s="30">
        <f>D7*G7</f>
        <v/>
      </c>
      <c r="I7" s="30">
        <f>H7-F7</f>
        <v/>
      </c>
    </row>
    <row r="8">
      <c r="A8" s="29" t="n">
        <v>4</v>
      </c>
      <c r="B8" s="29" t="inlineStr">
        <is>
          <t>GASTO OPERATIVO Y TRANSPORTE DE EQUIPOS</t>
        </is>
      </c>
      <c r="C8" s="29" t="inlineStr">
        <is>
          <t>Transporte de personal y equipos</t>
        </is>
      </c>
      <c r="D8" s="29" t="n">
        <v>1</v>
      </c>
      <c r="E8" s="30" t="n">
        <v>240000</v>
      </c>
      <c r="F8" s="30">
        <f>D8*E8</f>
        <v/>
      </c>
      <c r="G8" s="30" t="n">
        <v>400000</v>
      </c>
      <c r="H8" s="30">
        <f>D8*G8</f>
        <v/>
      </c>
      <c r="I8" s="30">
        <f>H8-F8</f>
        <v/>
      </c>
    </row>
    <row r="9">
      <c r="A9" s="31" t="inlineStr">
        <is>
          <t>TOTALES CONSOLIDADOS PRE-MONTAJE:</t>
        </is>
      </c>
      <c r="B9" s="19" t="n"/>
      <c r="C9" s="19" t="n"/>
      <c r="D9" s="19" t="n"/>
      <c r="E9" s="19" t="n"/>
      <c r="F9" s="32">
        <f>SUM(F5:F8)</f>
        <v/>
      </c>
      <c r="G9" s="33" t="inlineStr">
        <is>
          <t>-</t>
        </is>
      </c>
      <c r="H9" s="32">
        <f>SUM(H5:H8)</f>
        <v/>
      </c>
      <c r="I9" s="34">
        <f>H9-F9</f>
        <v/>
      </c>
    </row>
  </sheetData>
  <mergeCells count="2">
    <mergeCell ref="A1:I2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2026-10-10T13:32:10Z</dcterms:created>
  <dcterms:modified xmlns:dcterms="http://purl.org/dc/terms/" xmlns:xsi="http://www.w3.org/2001/XMLSchema-instance" xsi:type="dcterms:W3CDTF">2026-10-10T13:32:11Z</dcterms:modified>
</cp:coreProperties>
</file>