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uesta Comercial" sheetId="1" state="visible" r:id="rId1"/>
    <sheet xmlns:r="http://schemas.openxmlformats.org/officeDocument/2006/relationships" name="Matriz de Costos Intern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000000"/>
      <sz val="9"/>
    </font>
    <font>
      <name val="Arial"/>
      <b val="1"/>
      <color rgb="00D4AF37"/>
      <sz val="10"/>
    </font>
    <font>
      <name val="Arial"/>
      <b val="1"/>
      <color rgb="000F172A"/>
      <sz val="8.5"/>
    </font>
    <font>
      <name val="Arial"/>
      <color rgb="000F172A"/>
      <sz val="8.5"/>
    </font>
    <font>
      <name val="Arial"/>
      <b val="1"/>
      <color rgb="00FFFFFF"/>
      <sz val="9.5"/>
    </font>
    <font>
      <name val="Arial"/>
      <b val="1"/>
      <color rgb="00D4AF37"/>
      <sz val="9"/>
    </font>
    <font>
      <name val="Arial"/>
      <b val="1"/>
      <color rgb="000F172A"/>
      <sz val="9"/>
    </font>
    <font>
      <name val="Arial"/>
      <b val="1"/>
      <color rgb="000F172A"/>
      <sz val="10"/>
    </font>
    <font>
      <name val="Arial"/>
      <b val="1"/>
      <color rgb="00000000"/>
      <sz val="11"/>
    </font>
    <font>
      <name val="Arial"/>
      <b val="1"/>
      <color rgb="00000000"/>
      <sz val="12"/>
    </font>
    <font>
      <name val="Arial"/>
      <color rgb="000F172A"/>
      <sz val="7.5"/>
    </font>
    <font>
      <name val="Arial"/>
      <color rgb="0064748B"/>
      <sz val="8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sz val="8.5"/>
    </font>
    <font>
      <name val="Arial"/>
      <b val="1"/>
      <color rgb="00000000"/>
      <sz val="10"/>
    </font>
    <font>
      <name val="Arial"/>
      <b val="1"/>
      <sz val="10"/>
    </font>
    <font>
      <name val="Arial"/>
      <b val="1"/>
      <color rgb="00059669"/>
      <sz val="10"/>
    </font>
  </fonts>
  <fills count="9">
    <fill>
      <patternFill/>
    </fill>
    <fill>
      <patternFill patternType="gray125"/>
    </fill>
    <fill>
      <patternFill patternType="solid"/>
    </fill>
    <fill>
      <patternFill patternType="solid">
        <fgColor rgb="00D4AF37"/>
        <bgColor rgb="00D4AF37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F1F5F9"/>
      </patternFill>
    </fill>
    <fill>
      <patternFill patternType="solid">
        <fgColor rgb="00D4AF37"/>
      </patternFill>
    </fill>
    <fill>
      <patternFill patternType="solid">
        <fgColor rgb="001E293B"/>
      </patternFill>
    </fill>
  </fills>
  <borders count="3">
    <border>
      <left/>
      <right/>
      <top/>
      <bottom/>
      <diagonal/>
    </border>
    <border>
      <left style="medium">
        <color rgb="00D4AF37"/>
      </left>
      <right style="medium">
        <color rgb="00D4AF37"/>
      </right>
      <top style="medium">
        <color rgb="00D4AF37"/>
      </top>
      <bottom style="medium">
        <color rgb="00D4AF37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right" vertical="center"/>
    </xf>
    <xf numFmtId="0" fontId="7" fillId="2" borderId="0" applyAlignment="1" pivotButton="0" quotePrefix="0" xfId="0">
      <alignment horizontal="left" vertical="center"/>
    </xf>
    <xf numFmtId="0" fontId="5" fillId="4" borderId="2" applyAlignment="1" pivotButton="0" quotePrefix="0" xfId="0">
      <alignment horizontal="center"/>
    </xf>
    <xf numFmtId="0" fontId="5" fillId="4" borderId="2" pivotButton="0" quotePrefix="0" xfId="0"/>
    <xf numFmtId="164" fontId="5" fillId="4" borderId="2" pivotButton="0" quotePrefix="0" xfId="0"/>
    <xf numFmtId="0" fontId="5" fillId="5" borderId="2" applyAlignment="1" pivotButton="0" quotePrefix="0" xfId="0">
      <alignment horizontal="center"/>
    </xf>
    <xf numFmtId="0" fontId="5" fillId="5" borderId="2" pivotButton="0" quotePrefix="0" xfId="0"/>
    <xf numFmtId="164" fontId="5" fillId="5" borderId="2" pivotButton="0" quotePrefix="0" xfId="0"/>
    <xf numFmtId="0" fontId="8" fillId="6" borderId="2" applyAlignment="1" pivotButton="0" quotePrefix="0" xfId="0">
      <alignment horizontal="right" vertical="center"/>
    </xf>
    <xf numFmtId="0" fontId="0" fillId="0" borderId="2" pivotButton="0" quotePrefix="0" xfId="0"/>
    <xf numFmtId="164" fontId="8" fillId="6" borderId="2" pivotButton="0" quotePrefix="0" xfId="0"/>
    <xf numFmtId="0" fontId="9" fillId="6" borderId="2" applyAlignment="1" pivotButton="0" quotePrefix="0" xfId="0">
      <alignment horizontal="right" vertical="center"/>
    </xf>
    <xf numFmtId="164" fontId="9" fillId="6" borderId="2" pivotButton="0" quotePrefix="0" xfId="0"/>
    <xf numFmtId="0" fontId="10" fillId="7" borderId="1" applyAlignment="1" pivotButton="0" quotePrefix="0" xfId="0">
      <alignment horizontal="right" vertical="center"/>
    </xf>
    <xf numFmtId="0" fontId="0" fillId="0" borderId="1" pivotButton="0" quotePrefix="0" xfId="0"/>
    <xf numFmtId="164" fontId="11" fillId="7" borderId="1" pivotButton="0" quotePrefix="0" xfId="0"/>
    <xf numFmtId="0" fontId="7" fillId="2" borderId="0" pivotButton="0" quotePrefix="0" xfId="0"/>
    <xf numFmtId="0" fontId="12" fillId="0" borderId="0" pivotButton="0" quotePrefix="0" xfId="0"/>
    <xf numFmtId="0" fontId="8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wrapText="1"/>
    </xf>
    <xf numFmtId="0" fontId="14" fillId="2" borderId="0" applyAlignment="1" pivotButton="0" quotePrefix="0" xfId="0">
      <alignment horizontal="center" vertical="center"/>
    </xf>
    <xf numFmtId="0" fontId="15" fillId="8" borderId="2" applyAlignment="1" pivotButton="0" quotePrefix="0" xfId="0">
      <alignment horizontal="center"/>
    </xf>
    <xf numFmtId="0" fontId="15" fillId="8" borderId="2" applyAlignment="1" pivotButton="0" quotePrefix="0" xfId="0">
      <alignment horizontal="left"/>
    </xf>
    <xf numFmtId="0" fontId="15" fillId="8" borderId="2" applyAlignment="1" pivotButton="0" quotePrefix="0" xfId="0">
      <alignment horizontal="right"/>
    </xf>
    <xf numFmtId="0" fontId="16" fillId="0" borderId="2" pivotButton="0" quotePrefix="0" xfId="0"/>
    <xf numFmtId="164" fontId="16" fillId="0" borderId="2" pivotButton="0" quotePrefix="0" xfId="0"/>
    <xf numFmtId="0" fontId="17" fillId="7" borderId="1" applyAlignment="1" pivotButton="0" quotePrefix="0" xfId="0">
      <alignment horizontal="right"/>
    </xf>
    <xf numFmtId="164" fontId="18" fillId="7" borderId="1" pivotButton="0" quotePrefix="0" xfId="0"/>
    <xf numFmtId="0" fontId="0" fillId="7" borderId="1" applyAlignment="1" pivotButton="0" quotePrefix="0" xfId="0">
      <alignment horizontal="center"/>
    </xf>
    <xf numFmtId="164" fontId="19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8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4" customWidth="1" min="3" max="3"/>
    <col width="24" customWidth="1" min="4" max="4"/>
    <col width="24" customWidth="1" min="5" max="5"/>
  </cols>
  <sheetData>
    <row r="1">
      <c r="A1" s="1" t="inlineStr">
        <is>
          <t>F3R PRODUCCIONES S.A.S. — PROPUESTA COMERCIAL</t>
        </is>
      </c>
    </row>
    <row r="2"/>
    <row r="3">
      <c r="A3" s="2" t="inlineStr">
        <is>
          <t>COTIZACIÓN OFICIAL: V1-1009  |  FECHA: 2026-10-09  |  MONEDA: COP</t>
        </is>
      </c>
    </row>
    <row r="5">
      <c r="A5" s="3" t="inlineStr">
        <is>
          <t>DATOS DEL CLIENTE</t>
        </is>
      </c>
      <c r="C5" s="3" t="inlineStr">
        <is>
          <t>EMPRESA EMISORA &amp; CONDICIONES</t>
        </is>
      </c>
    </row>
    <row r="6">
      <c r="A6" s="4" t="inlineStr">
        <is>
          <t>Cliente / Razón Social:</t>
        </is>
      </c>
      <c r="B6" s="5" t="inlineStr">
        <is>
          <t>ESCUELA NAVAL DE CADETES ALMIRANTE PADILLA - ENAP</t>
        </is>
      </c>
      <c r="C6" s="4" t="inlineStr">
        <is>
          <t>Razón Social:</t>
        </is>
      </c>
      <c r="D6" s="5" t="inlineStr">
        <is>
          <t>F3R PRODUCCIONES S.A.S. (NIT 902106670-3)</t>
        </is>
      </c>
    </row>
    <row r="7">
      <c r="A7" s="4" t="inlineStr">
        <is>
          <t>NIT / Documento:</t>
        </is>
      </c>
      <c r="B7" s="5" t="inlineStr">
        <is>
          <t>800.141.648-9</t>
        </is>
      </c>
      <c r="C7" s="4" t="inlineStr">
        <is>
          <t>Atención Comercial:</t>
        </is>
      </c>
      <c r="D7" s="5" t="inlineStr">
        <is>
          <t>Francisco Ricaurte — WhatsApp: +57 333 434 0735</t>
        </is>
      </c>
    </row>
    <row r="8">
      <c r="A8" s="4" t="inlineStr">
        <is>
          <t>Nombre del Evento:</t>
        </is>
      </c>
      <c r="B8" s="5" t="inlineStr">
        <is>
          <t>Family Day ENAP 2026</t>
        </is>
      </c>
      <c r="C8" s="4" t="inlineStr">
        <is>
          <t>Correo / Instagram:</t>
        </is>
      </c>
      <c r="D8" s="5" t="inlineStr">
        <is>
          <t>f3rproducciones@gmail.com | @f3rproducciones</t>
        </is>
      </c>
    </row>
    <row r="9">
      <c r="A9" s="4" t="inlineStr">
        <is>
          <t>Lugar / Locación:</t>
        </is>
      </c>
      <c r="B9" s="5" t="inlineStr">
        <is>
          <t>Campo de Paradas y Zonas Verdes ENAP - Manzanillo</t>
        </is>
      </c>
      <c r="C9" s="4" t="inlineStr">
        <is>
          <t>Dirección:</t>
        </is>
      </c>
      <c r="D9" s="5" t="inlineStr">
        <is>
          <t>Cartagena de Indias Diagonal 31 80B75 Of 501</t>
        </is>
      </c>
    </row>
    <row r="10">
      <c r="A10" s="4" t="inlineStr">
        <is>
          <t>Aforo Estimado:</t>
        </is>
      </c>
      <c r="B10" s="5" t="inlineStr">
        <is>
          <t>1200 personas</t>
        </is>
      </c>
      <c r="C10" s="4" t="inlineStr">
        <is>
          <t>Forma de Pago:</t>
        </is>
      </c>
      <c r="D10" s="5" t="inlineStr">
        <is>
          <t>CONTADO</t>
        </is>
      </c>
    </row>
    <row r="11">
      <c r="A11" s="4" t="inlineStr">
        <is>
          <t>Fecha del Evento:</t>
        </is>
      </c>
      <c r="B11" s="5" t="inlineStr">
        <is>
          <t>2026-10-18</t>
        </is>
      </c>
      <c r="C11" s="4" t="inlineStr">
        <is>
          <t>Cuenta Bancaria:</t>
        </is>
      </c>
      <c r="D11" s="5" t="inlineStr">
        <is>
          <t>Cuenta de Ahorros Bancolombia # 788 000 169-77</t>
        </is>
      </c>
    </row>
    <row r="13">
      <c r="A13" s="6" t="inlineStr">
        <is>
          <t>Item</t>
        </is>
      </c>
      <c r="B13" s="7" t="inlineStr">
        <is>
          <t>Descripción del Servicio</t>
        </is>
      </c>
      <c r="C13" s="6" t="inlineStr">
        <is>
          <t>Cantidad</t>
        </is>
      </c>
      <c r="D13" s="8" t="inlineStr">
        <is>
          <t>Valor Unitario (COP)</t>
        </is>
      </c>
      <c r="E13" s="8" t="inlineStr">
        <is>
          <t>Valor Total (COP)</t>
        </is>
      </c>
    </row>
    <row r="14">
      <c r="A14" s="9" t="inlineStr">
        <is>
          <t xml:space="preserve">  CATEGORÍA: SONIDO</t>
        </is>
      </c>
    </row>
    <row r="15">
      <c r="A15" s="10" t="n">
        <v>1</v>
      </c>
      <c r="B15" s="11" t="inlineStr">
        <is>
          <t>Cabina line array DAS AERO 40 (6 por lado)</t>
        </is>
      </c>
      <c r="C15" s="10" t="n">
        <v>12</v>
      </c>
      <c r="D15" s="12" t="n">
        <v>250000</v>
      </c>
      <c r="E15" s="12">
        <f>C15*D15</f>
        <v/>
      </c>
    </row>
    <row r="16">
      <c r="A16" s="13" t="n">
        <v>2</v>
      </c>
      <c r="B16" s="14" t="inlineStr">
        <is>
          <t>Subwoofer Dobles 2x18 DAS LX218</t>
        </is>
      </c>
      <c r="C16" s="13" t="n">
        <v>6</v>
      </c>
      <c r="D16" s="15" t="n">
        <v>250000</v>
      </c>
      <c r="E16" s="15">
        <f>C16*D16</f>
        <v/>
      </c>
    </row>
    <row r="17">
      <c r="A17" s="10" t="n">
        <v>3</v>
      </c>
      <c r="B17" s="11" t="inlineStr">
        <is>
          <t>Monitor de piso DAS SM15</t>
        </is>
      </c>
      <c r="C17" s="10" t="n">
        <v>4</v>
      </c>
      <c r="D17" s="12" t="n">
        <v>150000</v>
      </c>
      <c r="E17" s="12">
        <f>C17*D17</f>
        <v/>
      </c>
    </row>
    <row r="18">
      <c r="A18" s="13" t="n">
        <v>4</v>
      </c>
      <c r="B18" s="14" t="inlineStr">
        <is>
          <t>Side Fill DAS VANTEC</t>
        </is>
      </c>
      <c r="C18" s="13" t="n">
        <v>2</v>
      </c>
      <c r="D18" s="15" t="n">
        <v>400000</v>
      </c>
      <c r="E18" s="15">
        <f>C18*D18</f>
        <v/>
      </c>
    </row>
    <row r="19">
      <c r="A19" s="10" t="n">
        <v>5</v>
      </c>
      <c r="B19" s="11" t="inlineStr">
        <is>
          <t>Cabina line array DAS AERO 40 para Relevo en estructura elevada</t>
        </is>
      </c>
      <c r="C19" s="10" t="n">
        <v>4</v>
      </c>
      <c r="D19" s="12" t="n">
        <v>250000</v>
      </c>
      <c r="E19" s="12">
        <f>C19*D19</f>
        <v/>
      </c>
    </row>
    <row r="20">
      <c r="A20" s="13" t="n">
        <v>6</v>
      </c>
      <c r="B20" s="14" t="inlineStr">
        <is>
          <t>Bajos dobles 2x18 JBL SLX para Relevo</t>
        </is>
      </c>
      <c r="C20" s="13" t="n">
        <v>4</v>
      </c>
      <c r="D20" s="15" t="n">
        <v>250000</v>
      </c>
      <c r="E20" s="15">
        <f>C20*D20</f>
        <v/>
      </c>
    </row>
    <row r="21">
      <c r="A21" s="10" t="n">
        <v>7</v>
      </c>
      <c r="B21" s="11" t="inlineStr">
        <is>
          <t>Consola midas M32</t>
        </is>
      </c>
      <c r="C21" s="10" t="n">
        <v>1</v>
      </c>
      <c r="D21" s="12" t="n">
        <v>250000</v>
      </c>
      <c r="E21" s="12">
        <f>C21*D21</f>
        <v/>
      </c>
    </row>
    <row r="22">
      <c r="A22" s="13" t="n">
        <v>8</v>
      </c>
      <c r="B22" s="14" t="inlineStr">
        <is>
          <t>Microfono inalámbrico y/o countryman con receptor SHURE SLX y QLX
con combinador de antenas x 4 UND</t>
        </is>
      </c>
      <c r="C22" s="13" t="n">
        <v>3</v>
      </c>
      <c r="D22" s="15" t="n">
        <v>480000</v>
      </c>
      <c r="E22" s="15">
        <f>C22*D22</f>
        <v/>
      </c>
    </row>
    <row r="23">
      <c r="A23" s="10" t="n">
        <v>9</v>
      </c>
      <c r="B23" s="11" t="inlineStr">
        <is>
          <t>Micrófonos alámbricos Shure SM 57 y 58</t>
        </is>
      </c>
      <c r="C23" s="10" t="n">
        <v>20</v>
      </c>
      <c r="D23" s="12" t="n">
        <v>50000</v>
      </c>
      <c r="E23" s="12">
        <f>C23*D23</f>
        <v/>
      </c>
    </row>
    <row r="24">
      <c r="A24" s="13" t="n">
        <v>10</v>
      </c>
      <c r="B24" s="14" t="inlineStr">
        <is>
          <t>Amplificador de bajo Ampeg 4*10</t>
        </is>
      </c>
      <c r="C24" s="13" t="n">
        <v>1</v>
      </c>
      <c r="D24" s="15" t="n">
        <v>300000</v>
      </c>
      <c r="E24" s="15">
        <f>C24*D24</f>
        <v/>
      </c>
    </row>
    <row r="25">
      <c r="A25" s="10" t="n">
        <v>11</v>
      </c>
      <c r="B25" s="11" t="inlineStr">
        <is>
          <t>Ingeniero de sonido</t>
        </is>
      </c>
      <c r="C25" s="10" t="n">
        <v>1</v>
      </c>
      <c r="D25" s="12" t="n">
        <v>1000000</v>
      </c>
      <c r="E25" s="12">
        <f>C25*D25</f>
        <v/>
      </c>
    </row>
    <row r="26">
      <c r="A26" s="13" t="n">
        <v>12</v>
      </c>
      <c r="B26" s="14" t="inlineStr">
        <is>
          <t>Roadie</t>
        </is>
      </c>
      <c r="C26" s="13" t="n">
        <v>1</v>
      </c>
      <c r="D26" s="15" t="n">
        <v>500000</v>
      </c>
      <c r="E26" s="15">
        <f>C26*D26</f>
        <v/>
      </c>
    </row>
    <row r="27">
      <c r="A27" s="10" t="n">
        <v>13</v>
      </c>
      <c r="B27" s="11" t="inlineStr">
        <is>
          <t>Dj Profesional + Controladora</t>
        </is>
      </c>
      <c r="C27" s="10" t="n">
        <v>1</v>
      </c>
      <c r="D27" s="12" t="n">
        <v>1500000</v>
      </c>
      <c r="E27" s="12">
        <f>C27*D27</f>
        <v/>
      </c>
    </row>
    <row r="28">
      <c r="A28" s="16" t="inlineStr">
        <is>
          <t>Subtotal SONIDO:</t>
        </is>
      </c>
      <c r="B28" s="17" t="n"/>
      <c r="C28" s="17" t="n"/>
      <c r="D28" s="17" t="n"/>
      <c r="E28" s="18">
        <f>SUM(E15:E27)</f>
        <v/>
      </c>
    </row>
    <row r="29">
      <c r="A29" s="9" t="inlineStr">
        <is>
          <t xml:space="preserve">  CATEGORÍA: ILUMINACIÓN</t>
        </is>
      </c>
    </row>
    <row r="30">
      <c r="A30" s="10" t="n">
        <v>1</v>
      </c>
      <c r="B30" s="11" t="inlineStr">
        <is>
          <t>Par led RGBWUV 5 vatios</t>
        </is>
      </c>
      <c r="C30" s="10" t="n">
        <v>50</v>
      </c>
      <c r="D30" s="12" t="n">
        <v>35000</v>
      </c>
      <c r="E30" s="12">
        <f>C30*D30</f>
        <v/>
      </c>
    </row>
    <row r="31">
      <c r="A31" s="13" t="n">
        <v>2</v>
      </c>
      <c r="B31" s="14" t="inlineStr">
        <is>
          <t>Opti led</t>
        </is>
      </c>
      <c r="C31" s="13" t="n">
        <v>10</v>
      </c>
      <c r="D31" s="15" t="n">
        <v>50000</v>
      </c>
      <c r="E31" s="15">
        <f>C31*D31</f>
        <v/>
      </c>
    </row>
    <row r="32">
      <c r="A32" s="10" t="n">
        <v>3</v>
      </c>
      <c r="B32" s="11" t="inlineStr">
        <is>
          <t>Cabezas móviles BEAM WASH SPOT</t>
        </is>
      </c>
      <c r="C32" s="10" t="n">
        <v>12</v>
      </c>
      <c r="D32" s="12" t="n">
        <v>200000</v>
      </c>
      <c r="E32" s="12">
        <f>C32*D32</f>
        <v/>
      </c>
    </row>
    <row r="33">
      <c r="A33" s="13" t="n">
        <v>4</v>
      </c>
      <c r="B33" s="14" t="inlineStr">
        <is>
          <t>Blinder para iluminación exterior en Truss para Iluminación de 2mts</t>
        </is>
      </c>
      <c r="C33" s="13" t="n">
        <v>8</v>
      </c>
      <c r="D33" s="15" t="n">
        <v>220000</v>
      </c>
      <c r="E33" s="15">
        <f>C33*D33</f>
        <v/>
      </c>
    </row>
    <row r="34">
      <c r="A34" s="10" t="n">
        <v>5</v>
      </c>
      <c r="B34" s="11" t="inlineStr">
        <is>
          <t>Iluminación tipo feria 500mts</t>
        </is>
      </c>
      <c r="C34" s="10" t="n">
        <v>500</v>
      </c>
      <c r="D34" s="12" t="n">
        <v>10000</v>
      </c>
      <c r="E34" s="12">
        <f>C34*D34</f>
        <v/>
      </c>
    </row>
    <row r="35">
      <c r="A35" s="13" t="n">
        <v>6</v>
      </c>
      <c r="B35" s="14" t="inlineStr">
        <is>
          <t>Consola de luces GRANDMA 2 CW + FADER WING</t>
        </is>
      </c>
      <c r="C35" s="13" t="n">
        <v>1</v>
      </c>
      <c r="D35" s="15" t="n">
        <v>500000</v>
      </c>
      <c r="E35" s="15">
        <f>C35*D35</f>
        <v/>
      </c>
    </row>
    <row r="36">
      <c r="A36" s="10" t="n">
        <v>7</v>
      </c>
      <c r="B36" s="11" t="inlineStr">
        <is>
          <t>Camara de humo Hazer PRO</t>
        </is>
      </c>
      <c r="C36" s="10" t="n">
        <v>2</v>
      </c>
      <c r="D36" s="12" t="n">
        <v>150000</v>
      </c>
      <c r="E36" s="12">
        <f>C36*D36</f>
        <v/>
      </c>
    </row>
    <row r="37">
      <c r="A37" s="13" t="n">
        <v>8</v>
      </c>
      <c r="B37" s="14" t="inlineStr">
        <is>
          <t>Luminotécnico</t>
        </is>
      </c>
      <c r="C37" s="13" t="n">
        <v>1</v>
      </c>
      <c r="D37" s="15" t="n">
        <v>500000</v>
      </c>
      <c r="E37" s="15">
        <f>C37*D37</f>
        <v/>
      </c>
    </row>
    <row r="38">
      <c r="A38" s="10" t="n">
        <v>9</v>
      </c>
      <c r="B38" s="11" t="inlineStr">
        <is>
          <t>Auxiliar de iluminación</t>
        </is>
      </c>
      <c r="C38" s="10" t="n">
        <v>1</v>
      </c>
      <c r="D38" s="12" t="n">
        <v>300000</v>
      </c>
      <c r="E38" s="12">
        <f>C38*D38</f>
        <v/>
      </c>
    </row>
    <row r="39">
      <c r="A39" s="16" t="inlineStr">
        <is>
          <t>Subtotal ILUMINACIÓN:</t>
        </is>
      </c>
      <c r="B39" s="17" t="n"/>
      <c r="C39" s="17" t="n"/>
      <c r="D39" s="17" t="n"/>
      <c r="E39" s="18">
        <f>SUM(E30:E38)</f>
        <v/>
      </c>
    </row>
    <row r="40">
      <c r="A40" s="9" t="inlineStr">
        <is>
          <t xml:space="preserve">  CATEGORÍA: ESTRUCTURA</t>
        </is>
      </c>
    </row>
    <row r="41">
      <c r="A41" s="10" t="n">
        <v>1</v>
      </c>
      <c r="B41" s="11" t="inlineStr">
        <is>
          <t>Escenario principal GROUND SUPPORT DE 12,80 X 9,80 X 7 MTS con tarima americana de 9x8 mts + puente interno para anclaje de iluminación y pantallas, TARIMA DE 9,76 X 8,54 X 1,40 ALTURA + 2 Escaleras de acceso</t>
        </is>
      </c>
      <c r="C41" s="10" t="n">
        <v>1</v>
      </c>
      <c r="D41" s="12" t="n">
        <v>9000000</v>
      </c>
      <c r="E41" s="12">
        <f>C41*D41</f>
        <v/>
      </c>
    </row>
    <row r="42">
      <c r="A42" s="13" t="n">
        <v>2</v>
      </c>
      <c r="B42" s="14" t="inlineStr">
        <is>
          <t>Portico elevado sonido de relevo de 3x3mts</t>
        </is>
      </c>
      <c r="C42" s="13" t="n">
        <v>1</v>
      </c>
      <c r="D42" s="15" t="n">
        <v>1000000</v>
      </c>
      <c r="E42" s="15">
        <f>C42*D42</f>
        <v/>
      </c>
    </row>
    <row r="43">
      <c r="A43" s="10" t="n">
        <v>3</v>
      </c>
      <c r="B43" s="11" t="inlineStr">
        <is>
          <t>Estructuras tipo boom de 4 mts para luces de feria</t>
        </is>
      </c>
      <c r="C43" s="10" t="n">
        <v>12</v>
      </c>
      <c r="D43" s="12" t="n">
        <v>120000</v>
      </c>
      <c r="E43" s="12">
        <f>C43*D43</f>
        <v/>
      </c>
    </row>
    <row r="44">
      <c r="A44" s="16" t="inlineStr">
        <is>
          <t>Subtotal ESTRUCTURA:</t>
        </is>
      </c>
      <c r="B44" s="17" t="n"/>
      <c r="C44" s="17" t="n"/>
      <c r="D44" s="17" t="n"/>
      <c r="E44" s="18">
        <f>SUM(E41:E43)</f>
        <v/>
      </c>
    </row>
    <row r="45">
      <c r="A45" s="9" t="inlineStr">
        <is>
          <t xml:space="preserve">  CATEGORÍA: AUDIOVISUALES</t>
        </is>
      </c>
    </row>
    <row r="46">
      <c r="A46" s="10" t="n">
        <v>1</v>
      </c>
      <c r="B46" s="11" t="inlineStr">
        <is>
          <t>Pantalla led 3,9 Pitch de 4x3 mts y 4 lagrimas horizontales de 0,5x2mts para escenario principal</t>
        </is>
      </c>
      <c r="C46" s="10" t="n">
        <v>1</v>
      </c>
      <c r="D46" s="12" t="n">
        <v>4800000</v>
      </c>
      <c r="E46" s="12">
        <f>C46*D46</f>
        <v/>
      </c>
    </row>
    <row r="47">
      <c r="A47" s="16" t="inlineStr">
        <is>
          <t>Subtotal AUDIOVISUALES:</t>
        </is>
      </c>
      <c r="B47" s="17" t="n"/>
      <c r="C47" s="17" t="n"/>
      <c r="D47" s="17" t="n"/>
      <c r="E47" s="18">
        <f>SUM(E46:E46)</f>
        <v/>
      </c>
    </row>
    <row r="48">
      <c r="A48" s="9" t="inlineStr">
        <is>
          <t xml:space="preserve">  CATEGORÍA: GENERADORES ELECTRICOS</t>
        </is>
      </c>
    </row>
    <row r="49">
      <c r="A49" s="10" t="n">
        <v>1</v>
      </c>
      <c r="B49" s="11" t="inlineStr">
        <is>
          <t>Generador eléctrico 100kva</t>
        </is>
      </c>
      <c r="C49" s="10" t="n">
        <v>1</v>
      </c>
      <c r="D49" s="12" t="n">
        <v>1700000</v>
      </c>
      <c r="E49" s="12">
        <f>C49*D49</f>
        <v/>
      </c>
    </row>
    <row r="50">
      <c r="A50" s="13" t="n">
        <v>2</v>
      </c>
      <c r="B50" s="14" t="inlineStr">
        <is>
          <t>Generador eléctrico 75kva</t>
        </is>
      </c>
      <c r="C50" s="13" t="n">
        <v>1</v>
      </c>
      <c r="D50" s="15" t="n">
        <v>1600000</v>
      </c>
      <c r="E50" s="15">
        <f>C50*D50</f>
        <v/>
      </c>
    </row>
    <row r="51">
      <c r="A51" s="10" t="n">
        <v>3</v>
      </c>
      <c r="B51" s="11" t="inlineStr">
        <is>
          <t>20 Puntos Electricos para las carpas</t>
        </is>
      </c>
      <c r="C51" s="10" t="n">
        <v>20</v>
      </c>
      <c r="D51" s="12" t="n">
        <v>100000</v>
      </c>
      <c r="E51" s="12">
        <f>C51*D51</f>
        <v/>
      </c>
    </row>
    <row r="52">
      <c r="A52" s="16" t="inlineStr">
        <is>
          <t>Subtotal GENERADORES ELECTRICOS:</t>
        </is>
      </c>
      <c r="B52" s="17" t="n"/>
      <c r="C52" s="17" t="n"/>
      <c r="D52" s="17" t="n"/>
      <c r="E52" s="18">
        <f>SUM(E49:E51)</f>
        <v/>
      </c>
    </row>
    <row r="53">
      <c r="A53" s="9" t="inlineStr">
        <is>
          <t xml:space="preserve">  CATEGORÍA: ADICIONALES</t>
        </is>
      </c>
    </row>
    <row r="54">
      <c r="A54" s="10" t="n">
        <v>1</v>
      </c>
      <c r="B54" s="11" t="inlineStr">
        <is>
          <t>Carpas tipo hangar de 12 x 12 mts sin ambientar + Carpas 4x4 blancas para emprendimientos con punto de corriente cada carpa</t>
        </is>
      </c>
      <c r="C54" s="10" t="n">
        <v>1</v>
      </c>
      <c r="D54" s="12" t="n">
        <v>7500000</v>
      </c>
      <c r="E54" s="12">
        <f>C54*D54</f>
        <v/>
      </c>
    </row>
    <row r="55">
      <c r="A55" s="13" t="n">
        <v>2</v>
      </c>
      <c r="B55" s="14" t="inlineStr">
        <is>
          <t>Combo TV 50" + PS5 + Base a piso</t>
        </is>
      </c>
      <c r="C55" s="13" t="n">
        <v>6</v>
      </c>
      <c r="D55" s="15" t="n">
        <v>350000</v>
      </c>
      <c r="E55" s="15">
        <f>C55*D55</f>
        <v/>
      </c>
    </row>
    <row r="56">
      <c r="A56" s="16" t="inlineStr">
        <is>
          <t>Subtotal ADICIONALES:</t>
        </is>
      </c>
      <c r="B56" s="17" t="n"/>
      <c r="C56" s="17" t="n"/>
      <c r="D56" s="17" t="n"/>
      <c r="E56" s="18">
        <f>SUM(E54:E55)</f>
        <v/>
      </c>
    </row>
    <row r="57">
      <c r="A57" s="9" t="inlineStr">
        <is>
          <t xml:space="preserve">  CATEGORÍA: ZONA INFANTIL</t>
        </is>
      </c>
    </row>
    <row r="58">
      <c r="A58" s="10" t="n">
        <v>1</v>
      </c>
      <c r="B58" s="11" t="inlineStr">
        <is>
          <t>Inflabe castillo</t>
        </is>
      </c>
      <c r="C58" s="10" t="n">
        <v>1</v>
      </c>
      <c r="D58" s="12" t="n">
        <v>550000</v>
      </c>
      <c r="E58" s="12">
        <f>C58*D58</f>
        <v/>
      </c>
    </row>
    <row r="59">
      <c r="A59" s="13" t="n">
        <v>2</v>
      </c>
      <c r="B59" s="14" t="inlineStr">
        <is>
          <t>Cañon de espuma grande</t>
        </is>
      </c>
      <c r="C59" s="13" t="n">
        <v>1</v>
      </c>
      <c r="D59" s="15" t="n">
        <v>550000</v>
      </c>
      <c r="E59" s="15">
        <f>C59*D59</f>
        <v/>
      </c>
    </row>
    <row r="60">
      <c r="A60" s="10" t="n">
        <v>3</v>
      </c>
      <c r="B60" s="11" t="inlineStr">
        <is>
          <t>Inflable pequeño niños pequeños</t>
        </is>
      </c>
      <c r="C60" s="10" t="n">
        <v>1</v>
      </c>
      <c r="D60" s="12" t="n">
        <v>300000</v>
      </c>
      <c r="E60" s="12">
        <f>C60*D60</f>
        <v/>
      </c>
    </row>
    <row r="61">
      <c r="A61" s="13" t="n">
        <v>4</v>
      </c>
      <c r="B61" s="14" t="inlineStr">
        <is>
          <t>Muro de escalar Niños 5-12 años</t>
        </is>
      </c>
      <c r="C61" s="13" t="n">
        <v>1</v>
      </c>
      <c r="D61" s="15" t="n">
        <v>800000</v>
      </c>
      <c r="E61" s="15">
        <f>C61*D61</f>
        <v/>
      </c>
    </row>
    <row r="62">
      <c r="A62" s="10" t="n">
        <v>5</v>
      </c>
      <c r="B62" s="11" t="inlineStr">
        <is>
          <t>Inflable pista de obstaculos uso mixto alternando</t>
        </is>
      </c>
      <c r="C62" s="10" t="n">
        <v>1</v>
      </c>
      <c r="D62" s="12" t="n">
        <v>500000</v>
      </c>
      <c r="E62" s="12">
        <f>C62*D62</f>
        <v/>
      </c>
    </row>
    <row r="63">
      <c r="A63" s="13" t="n">
        <v>6</v>
      </c>
      <c r="B63" s="14" t="inlineStr">
        <is>
          <t>Transporte</t>
        </is>
      </c>
      <c r="C63" s="13" t="n">
        <v>1</v>
      </c>
      <c r="D63" s="15" t="n">
        <v>300000</v>
      </c>
      <c r="E63" s="15">
        <f>C63*D63</f>
        <v/>
      </c>
    </row>
    <row r="64">
      <c r="A64" s="16" t="inlineStr">
        <is>
          <t>Subtotal ZONA INFANTIL:</t>
        </is>
      </c>
      <c r="B64" s="17" t="n"/>
      <c r="C64" s="17" t="n"/>
      <c r="D64" s="17" t="n"/>
      <c r="E64" s="18">
        <f>SUM(E58:E63)</f>
        <v/>
      </c>
    </row>
    <row r="65">
      <c r="A65" s="9" t="inlineStr">
        <is>
          <t xml:space="preserve">  CATEGORÍA: GASTO OPERATIVO Y TRANSPORTE DE EQUIPOS</t>
        </is>
      </c>
    </row>
    <row r="66">
      <c r="A66" s="10" t="n">
        <v>1</v>
      </c>
      <c r="B66" s="11" t="inlineStr">
        <is>
          <t>Gasto Operativo + Transporte de equipos</t>
        </is>
      </c>
      <c r="C66" s="10" t="n">
        <v>1</v>
      </c>
      <c r="D66" s="12" t="n">
        <v>2000000</v>
      </c>
      <c r="E66" s="12">
        <f>C66*D66</f>
        <v/>
      </c>
    </row>
    <row r="67">
      <c r="A67" s="16" t="inlineStr">
        <is>
          <t>Subtotal GASTO OPERATIVO Y TRANSPORTE DE EQUIPOS:</t>
        </is>
      </c>
      <c r="B67" s="17" t="n"/>
      <c r="C67" s="17" t="n"/>
      <c r="D67" s="17" t="n"/>
      <c r="E67" s="18">
        <f>SUM(E66:E66)</f>
        <v/>
      </c>
    </row>
    <row r="69">
      <c r="C69" s="19" t="inlineStr">
        <is>
          <t>SUBTOTAL SERVICIOS:</t>
        </is>
      </c>
      <c r="D69" s="17" t="n"/>
      <c r="E69" s="20">
        <f>E28+E39+E44+E47+E52+E56+E64+E67</f>
        <v/>
      </c>
    </row>
    <row r="70">
      <c r="C70" s="21" t="inlineStr">
        <is>
          <t>VALOR TOTAL PROPUESTA:</t>
        </is>
      </c>
      <c r="D70" s="22" t="n"/>
      <c r="E70" s="23">
        <f>E69</f>
        <v/>
      </c>
    </row>
    <row r="72">
      <c r="A72" s="24" t="inlineStr">
        <is>
          <t>CONDICIONES COMERCIALES Y DE CONTRATACIÓN F3R PRODUCCIONES S.A.S.</t>
        </is>
      </c>
    </row>
    <row r="73">
      <c r="A73" s="25" t="inlineStr">
        <is>
          <t>1. Vigencia: Esta propuesta tiene la vigencia indicada en la cotización y está sujeta a disponibilidad de fecha, equipos y personal.</t>
        </is>
      </c>
    </row>
    <row r="74">
      <c r="A74" s="25" t="inlineStr">
        <is>
          <t>2. Reserva: La fecha se garantiza únicamente con la aceptación de la propuesta y el pago del anticipo acordado.</t>
        </is>
      </c>
    </row>
    <row r="75">
      <c r="A75" s="25" t="inlineStr">
        <is>
          <t>3. Pagos: Los pagos deberán realizarse en las fechas establecidas. El incumplimiento podrá generar suspensión del servicio y/o cobro de intereses de mora.</t>
        </is>
      </c>
    </row>
    <row r="76">
      <c r="A76" s="25" t="inlineStr">
        <is>
          <t>4. Cancelaciones: En caso de cancelación por parte del cliente, el anticipo no será reembolsable por las reservas y compromisos de F3R.</t>
        </is>
      </c>
    </row>
    <row r="77">
      <c r="A77" s="25" t="inlineStr">
        <is>
          <t>5. Reprogramaciones: Todo cambio de fecha estará sujeto a disponibilidad y podrá generar costos adicionales.</t>
        </is>
      </c>
    </row>
    <row r="78">
      <c r="A78" s="25" t="inlineStr">
        <is>
          <t>6. Servicios adicionales: Cualquier modificación, ampliación de horario o requerimiento extra será cotizado por separado.</t>
        </is>
      </c>
    </row>
    <row r="79">
      <c r="A79" s="25" t="inlineStr">
        <is>
          <t>7. Montaje y logística: Permisos, transporte no estipulado, parqueaderos y gastos extraordinarios serán asumidos por el cliente.</t>
        </is>
      </c>
    </row>
    <row r="80">
      <c r="A80" s="25" t="inlineStr">
        <is>
          <t>8. Equipos: El cliente será responsable por daños o pérdidas ocasionados por causas atribuibles al cliente o terceros bajo su responsabilidad.</t>
        </is>
      </c>
    </row>
    <row r="81">
      <c r="A81" s="25" t="inlineStr">
        <is>
          <t>9. Lugar del evento: El cliente garantizará las condiciones de acceso, seguridad, espacio, energía y requerimientos de montaje.</t>
        </is>
      </c>
    </row>
    <row r="82">
      <c r="A82" s="25" t="inlineStr">
        <is>
          <t>10. Fuerza mayor: F3R no será responsable por retrasos derivados de hechos imprevisibles fuera de su control.</t>
        </is>
      </c>
    </row>
    <row r="83">
      <c r="A83" s="25" t="inlineStr">
        <is>
          <t>11. Responsabilidad: F3R responderá exclusivamente por los servicios expresamente contratados en esta propuesta.</t>
        </is>
      </c>
    </row>
    <row r="84">
      <c r="A84" s="25" t="inlineStr">
        <is>
          <t>12. Aceptación: La aprobación de la cotización, firma, pago del anticipo o confirmación escrita implica la aceptación de estas condiciones.</t>
        </is>
      </c>
    </row>
    <row r="87">
      <c r="A87" s="26" t="inlineStr">
        <is>
          <t>Francisco Ricaurte</t>
        </is>
      </c>
      <c r="D87" s="26" t="inlineStr">
        <is>
          <t>ACEPTADO: ESCUELA NAVAL DE CADETES ALMIR</t>
        </is>
      </c>
    </row>
    <row r="88">
      <c r="A88" s="27" t="inlineStr">
        <is>
          <t>Gerente — F3R Producciones S.A.S.
WhatsApp +57 333 434 0735
f3rproducciones@gmail.com</t>
        </is>
      </c>
      <c r="D88" s="27" t="inlineStr">
        <is>
          <t>NIT / C.C.: 800.141.648-9
Firma Autorizada / Sello de Aceptación</t>
        </is>
      </c>
    </row>
  </sheetData>
  <mergeCells count="45">
    <mergeCell ref="A77:E77"/>
    <mergeCell ref="A83:E83"/>
    <mergeCell ref="A48:E48"/>
    <mergeCell ref="D10:E10"/>
    <mergeCell ref="A73:E73"/>
    <mergeCell ref="A82:E82"/>
    <mergeCell ref="A52:D52"/>
    <mergeCell ref="A45:E45"/>
    <mergeCell ref="A88:B88"/>
    <mergeCell ref="A28:D28"/>
    <mergeCell ref="A79:E79"/>
    <mergeCell ref="A44:D44"/>
    <mergeCell ref="A87:B87"/>
    <mergeCell ref="D6:E6"/>
    <mergeCell ref="A67:D67"/>
    <mergeCell ref="A65:E65"/>
    <mergeCell ref="A78:E78"/>
    <mergeCell ref="D11:E11"/>
    <mergeCell ref="A39:D39"/>
    <mergeCell ref="A64:D64"/>
    <mergeCell ref="A75:E75"/>
    <mergeCell ref="A84:E84"/>
    <mergeCell ref="A74:E74"/>
    <mergeCell ref="A80:E80"/>
    <mergeCell ref="A3:E3"/>
    <mergeCell ref="D87:E87"/>
    <mergeCell ref="D7:E7"/>
    <mergeCell ref="A57:E57"/>
    <mergeCell ref="A76:E76"/>
    <mergeCell ref="A5:B5"/>
    <mergeCell ref="A1:E2"/>
    <mergeCell ref="A14:E14"/>
    <mergeCell ref="C70:D70"/>
    <mergeCell ref="D9:E9"/>
    <mergeCell ref="D8:E8"/>
    <mergeCell ref="A53:E53"/>
    <mergeCell ref="A29:E29"/>
    <mergeCell ref="A56:D56"/>
    <mergeCell ref="A81:E81"/>
    <mergeCell ref="C5:E5"/>
    <mergeCell ref="A72:E72"/>
    <mergeCell ref="D88:E88"/>
    <mergeCell ref="A47:D47"/>
    <mergeCell ref="A40:E40"/>
    <mergeCell ref="C69:D6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3"/>
  <sheetViews>
    <sheetView showGridLines="1"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45" customWidth="1" min="3" max="3"/>
    <col width="8" customWidth="1" min="4" max="4"/>
    <col width="18" customWidth="1" min="5" max="5"/>
    <col width="20" customWidth="1" min="6" max="6"/>
    <col width="18" customWidth="1" min="7" max="7"/>
    <col width="20" customWidth="1" min="8" max="8"/>
    <col width="20" customWidth="1" min="9" max="9"/>
  </cols>
  <sheetData>
    <row r="1">
      <c r="A1" s="28" t="inlineStr">
        <is>
          <t>MATRIZ DE COSTOS Y MARGEN INTERNO — V1-1009 (ESCUELA NAVAL DE CADETES ALMIRANTE PADILLA - ENAP)</t>
        </is>
      </c>
    </row>
    <row r="2"/>
    <row r="4">
      <c r="A4" s="29" t="inlineStr">
        <is>
          <t>Item</t>
        </is>
      </c>
      <c r="B4" s="30" t="inlineStr">
        <is>
          <t>Categoría</t>
        </is>
      </c>
      <c r="C4" s="30" t="inlineStr">
        <is>
          <t>Descripción del Servicio</t>
        </is>
      </c>
      <c r="D4" s="29" t="inlineStr">
        <is>
          <t>Cant</t>
        </is>
      </c>
      <c r="E4" s="31" t="inlineStr">
        <is>
          <t>Costo Unit (COP)</t>
        </is>
      </c>
      <c r="F4" s="31" t="inlineStr">
        <is>
          <t>Costo Total (COP)</t>
        </is>
      </c>
      <c r="G4" s="31" t="inlineStr">
        <is>
          <t>Venta Unit (COP)</t>
        </is>
      </c>
      <c r="H4" s="31" t="inlineStr">
        <is>
          <t>Venta Total (COP)</t>
        </is>
      </c>
      <c r="I4" s="31" t="inlineStr">
        <is>
          <t>Utilidad Neta</t>
        </is>
      </c>
    </row>
    <row r="5">
      <c r="A5" s="32" t="n">
        <v>1</v>
      </c>
      <c r="B5" s="32" t="inlineStr">
        <is>
          <t>SONIDO</t>
        </is>
      </c>
      <c r="C5" s="32" t="inlineStr">
        <is>
          <t>Cabina line array DAS AERO 40 (6 por lado)</t>
        </is>
      </c>
      <c r="D5" s="32" t="n">
        <v>12</v>
      </c>
      <c r="E5" s="33" t="n">
        <v>219900</v>
      </c>
      <c r="F5" s="33">
        <f>D5*E5</f>
        <v/>
      </c>
      <c r="G5" s="33" t="n">
        <v>250000</v>
      </c>
      <c r="H5" s="33">
        <f>D5*G5</f>
        <v/>
      </c>
      <c r="I5" s="33">
        <f>H5-F5</f>
        <v/>
      </c>
    </row>
    <row r="6">
      <c r="A6" s="32" t="n">
        <v>2</v>
      </c>
      <c r="B6" s="32" t="inlineStr">
        <is>
          <t>SONIDO</t>
        </is>
      </c>
      <c r="C6" s="32" t="inlineStr">
        <is>
          <t>Subwoofer Dobles 2x18 DAS LX218</t>
        </is>
      </c>
      <c r="D6" s="32" t="n">
        <v>6</v>
      </c>
      <c r="E6" s="33" t="n">
        <v>219900</v>
      </c>
      <c r="F6" s="33">
        <f>D6*E6</f>
        <v/>
      </c>
      <c r="G6" s="33" t="n">
        <v>250000</v>
      </c>
      <c r="H6" s="33">
        <f>D6*G6</f>
        <v/>
      </c>
      <c r="I6" s="33">
        <f>H6-F6</f>
        <v/>
      </c>
    </row>
    <row r="7">
      <c r="A7" s="32" t="n">
        <v>3</v>
      </c>
      <c r="B7" s="32" t="inlineStr">
        <is>
          <t>SONIDO</t>
        </is>
      </c>
      <c r="C7" s="32" t="inlineStr">
        <is>
          <t>Monitor de piso DAS SM15</t>
        </is>
      </c>
      <c r="D7" s="32" t="n">
        <v>4</v>
      </c>
      <c r="E7" s="33" t="n">
        <v>131940</v>
      </c>
      <c r="F7" s="33">
        <f>D7*E7</f>
        <v/>
      </c>
      <c r="G7" s="33" t="n">
        <v>150000</v>
      </c>
      <c r="H7" s="33">
        <f>D7*G7</f>
        <v/>
      </c>
      <c r="I7" s="33">
        <f>H7-F7</f>
        <v/>
      </c>
    </row>
    <row r="8">
      <c r="A8" s="32" t="n">
        <v>4</v>
      </c>
      <c r="B8" s="32" t="inlineStr">
        <is>
          <t>SONIDO</t>
        </is>
      </c>
      <c r="C8" s="32" t="inlineStr">
        <is>
          <t>Side Fill DAS VANTEC</t>
        </is>
      </c>
      <c r="D8" s="32" t="n">
        <v>2</v>
      </c>
      <c r="E8" s="33" t="n">
        <v>351840</v>
      </c>
      <c r="F8" s="33">
        <f>D8*E8</f>
        <v/>
      </c>
      <c r="G8" s="33" t="n">
        <v>400000</v>
      </c>
      <c r="H8" s="33">
        <f>D8*G8</f>
        <v/>
      </c>
      <c r="I8" s="33">
        <f>H8-F8</f>
        <v/>
      </c>
    </row>
    <row r="9">
      <c r="A9" s="32" t="n">
        <v>5</v>
      </c>
      <c r="B9" s="32" t="inlineStr">
        <is>
          <t>SONIDO</t>
        </is>
      </c>
      <c r="C9" s="32" t="inlineStr">
        <is>
          <t>Cabina line array DAS AERO 40 para Relevo en estructura elevada</t>
        </is>
      </c>
      <c r="D9" s="32" t="n">
        <v>4</v>
      </c>
      <c r="E9" s="33" t="n">
        <v>219900</v>
      </c>
      <c r="F9" s="33">
        <f>D9*E9</f>
        <v/>
      </c>
      <c r="G9" s="33" t="n">
        <v>250000</v>
      </c>
      <c r="H9" s="33">
        <f>D9*G9</f>
        <v/>
      </c>
      <c r="I9" s="33">
        <f>H9-F9</f>
        <v/>
      </c>
    </row>
    <row r="10">
      <c r="A10" s="32" t="n">
        <v>6</v>
      </c>
      <c r="B10" s="32" t="inlineStr">
        <is>
          <t>SONIDO</t>
        </is>
      </c>
      <c r="C10" s="32" t="inlineStr">
        <is>
          <t>Bajos dobles 2x18 JBL SLX para Relevo</t>
        </is>
      </c>
      <c r="D10" s="32" t="n">
        <v>4</v>
      </c>
      <c r="E10" s="33" t="n">
        <v>219900</v>
      </c>
      <c r="F10" s="33">
        <f>D10*E10</f>
        <v/>
      </c>
      <c r="G10" s="33" t="n">
        <v>250000</v>
      </c>
      <c r="H10" s="33">
        <f>D10*G10</f>
        <v/>
      </c>
      <c r="I10" s="33">
        <f>H10-F10</f>
        <v/>
      </c>
    </row>
    <row r="11">
      <c r="A11" s="32" t="n">
        <v>7</v>
      </c>
      <c r="B11" s="32" t="inlineStr">
        <is>
          <t>SONIDO</t>
        </is>
      </c>
      <c r="C11" s="32" t="inlineStr">
        <is>
          <t>Consola midas M32</t>
        </is>
      </c>
      <c r="D11" s="32" t="n">
        <v>1</v>
      </c>
      <c r="E11" s="33" t="n">
        <v>219900</v>
      </c>
      <c r="F11" s="33">
        <f>D11*E11</f>
        <v/>
      </c>
      <c r="G11" s="33" t="n">
        <v>250000</v>
      </c>
      <c r="H11" s="33">
        <f>D11*G11</f>
        <v/>
      </c>
      <c r="I11" s="33">
        <f>H11-F11</f>
        <v/>
      </c>
    </row>
    <row r="12">
      <c r="A12" s="32" t="n">
        <v>8</v>
      </c>
      <c r="B12" s="32" t="inlineStr">
        <is>
          <t>SONIDO</t>
        </is>
      </c>
      <c r="C12" s="32" t="inlineStr">
        <is>
          <t>Microfono inalámbrico y/o countryman con receptor SHURE SLX y QLX
con combinador de antenas x 4 UND</t>
        </is>
      </c>
      <c r="D12" s="32" t="n">
        <v>3</v>
      </c>
      <c r="E12" s="33" t="n">
        <v>422208</v>
      </c>
      <c r="F12" s="33">
        <f>D12*E12</f>
        <v/>
      </c>
      <c r="G12" s="33" t="n">
        <v>480000</v>
      </c>
      <c r="H12" s="33">
        <f>D12*G12</f>
        <v/>
      </c>
      <c r="I12" s="33">
        <f>H12-F12</f>
        <v/>
      </c>
    </row>
    <row r="13">
      <c r="A13" s="32" t="n">
        <v>9</v>
      </c>
      <c r="B13" s="32" t="inlineStr">
        <is>
          <t>SONIDO</t>
        </is>
      </c>
      <c r="C13" s="32" t="inlineStr">
        <is>
          <t>Micrófonos alámbricos Shure SM 57 y 58</t>
        </is>
      </c>
      <c r="D13" s="32" t="n">
        <v>20</v>
      </c>
      <c r="E13" s="33" t="n">
        <v>43980</v>
      </c>
      <c r="F13" s="33">
        <f>D13*E13</f>
        <v/>
      </c>
      <c r="G13" s="33" t="n">
        <v>50000</v>
      </c>
      <c r="H13" s="33">
        <f>D13*G13</f>
        <v/>
      </c>
      <c r="I13" s="33">
        <f>H13-F13</f>
        <v/>
      </c>
    </row>
    <row r="14">
      <c r="A14" s="32" t="n">
        <v>10</v>
      </c>
      <c r="B14" s="32" t="inlineStr">
        <is>
          <t>SONIDO</t>
        </is>
      </c>
      <c r="C14" s="32" t="inlineStr">
        <is>
          <t>Amplificador de bajo Ampeg 4*10</t>
        </is>
      </c>
      <c r="D14" s="32" t="n">
        <v>1</v>
      </c>
      <c r="E14" s="33" t="n">
        <v>263880</v>
      </c>
      <c r="F14" s="33">
        <f>D14*E14</f>
        <v/>
      </c>
      <c r="G14" s="33" t="n">
        <v>300000</v>
      </c>
      <c r="H14" s="33">
        <f>D14*G14</f>
        <v/>
      </c>
      <c r="I14" s="33">
        <f>H14-F14</f>
        <v/>
      </c>
    </row>
    <row r="15">
      <c r="A15" s="32" t="n">
        <v>11</v>
      </c>
      <c r="B15" s="32" t="inlineStr">
        <is>
          <t>SONIDO</t>
        </is>
      </c>
      <c r="C15" s="32" t="inlineStr">
        <is>
          <t>Ingeniero de sonido</t>
        </is>
      </c>
      <c r="D15" s="32" t="n">
        <v>1</v>
      </c>
      <c r="E15" s="33" t="n">
        <v>879600</v>
      </c>
      <c r="F15" s="33">
        <f>D15*E15</f>
        <v/>
      </c>
      <c r="G15" s="33" t="n">
        <v>1000000</v>
      </c>
      <c r="H15" s="33">
        <f>D15*G15</f>
        <v/>
      </c>
      <c r="I15" s="33">
        <f>H15-F15</f>
        <v/>
      </c>
    </row>
    <row r="16">
      <c r="A16" s="32" t="n">
        <v>12</v>
      </c>
      <c r="B16" s="32" t="inlineStr">
        <is>
          <t>SONIDO</t>
        </is>
      </c>
      <c r="C16" s="32" t="inlineStr">
        <is>
          <t>Roadie</t>
        </is>
      </c>
      <c r="D16" s="32" t="n">
        <v>1</v>
      </c>
      <c r="E16" s="33" t="n">
        <v>439800</v>
      </c>
      <c r="F16" s="33">
        <f>D16*E16</f>
        <v/>
      </c>
      <c r="G16" s="33" t="n">
        <v>500000</v>
      </c>
      <c r="H16" s="33">
        <f>D16*G16</f>
        <v/>
      </c>
      <c r="I16" s="33">
        <f>H16-F16</f>
        <v/>
      </c>
    </row>
    <row r="17">
      <c r="A17" s="32" t="n">
        <v>13</v>
      </c>
      <c r="B17" s="32" t="inlineStr">
        <is>
          <t>SONIDO</t>
        </is>
      </c>
      <c r="C17" s="32" t="inlineStr">
        <is>
          <t>Dj Profesional + Controladora</t>
        </is>
      </c>
      <c r="D17" s="32" t="n">
        <v>1</v>
      </c>
      <c r="E17" s="33" t="n">
        <v>1319400</v>
      </c>
      <c r="F17" s="33">
        <f>D17*E17</f>
        <v/>
      </c>
      <c r="G17" s="33" t="n">
        <v>1500000</v>
      </c>
      <c r="H17" s="33">
        <f>D17*G17</f>
        <v/>
      </c>
      <c r="I17" s="33">
        <f>H17-F17</f>
        <v/>
      </c>
    </row>
    <row r="18">
      <c r="A18" s="32" t="n">
        <v>14</v>
      </c>
      <c r="B18" s="32" t="inlineStr">
        <is>
          <t>ILUMINACIÓN</t>
        </is>
      </c>
      <c r="C18" s="32" t="inlineStr">
        <is>
          <t>Par led RGBWUV 5 vatios</t>
        </is>
      </c>
      <c r="D18" s="32" t="n">
        <v>50</v>
      </c>
      <c r="E18" s="33" t="n">
        <v>30786</v>
      </c>
      <c r="F18" s="33">
        <f>D18*E18</f>
        <v/>
      </c>
      <c r="G18" s="33" t="n">
        <v>35000</v>
      </c>
      <c r="H18" s="33">
        <f>D18*G18</f>
        <v/>
      </c>
      <c r="I18" s="33">
        <f>H18-F18</f>
        <v/>
      </c>
    </row>
    <row r="19">
      <c r="A19" s="32" t="n">
        <v>15</v>
      </c>
      <c r="B19" s="32" t="inlineStr">
        <is>
          <t>ILUMINACIÓN</t>
        </is>
      </c>
      <c r="C19" s="32" t="inlineStr">
        <is>
          <t>Opti led</t>
        </is>
      </c>
      <c r="D19" s="32" t="n">
        <v>10</v>
      </c>
      <c r="E19" s="33" t="n">
        <v>43980</v>
      </c>
      <c r="F19" s="33">
        <f>D19*E19</f>
        <v/>
      </c>
      <c r="G19" s="33" t="n">
        <v>50000</v>
      </c>
      <c r="H19" s="33">
        <f>D19*G19</f>
        <v/>
      </c>
      <c r="I19" s="33">
        <f>H19-F19</f>
        <v/>
      </c>
    </row>
    <row r="20">
      <c r="A20" s="32" t="n">
        <v>16</v>
      </c>
      <c r="B20" s="32" t="inlineStr">
        <is>
          <t>ILUMINACIÓN</t>
        </is>
      </c>
      <c r="C20" s="32" t="inlineStr">
        <is>
          <t>Cabezas móviles BEAM WASH SPOT</t>
        </is>
      </c>
      <c r="D20" s="32" t="n">
        <v>12</v>
      </c>
      <c r="E20" s="33" t="n">
        <v>175920</v>
      </c>
      <c r="F20" s="33">
        <f>D20*E20</f>
        <v/>
      </c>
      <c r="G20" s="33" t="n">
        <v>200000</v>
      </c>
      <c r="H20" s="33">
        <f>D20*G20</f>
        <v/>
      </c>
      <c r="I20" s="33">
        <f>H20-F20</f>
        <v/>
      </c>
    </row>
    <row r="21">
      <c r="A21" s="32" t="n">
        <v>17</v>
      </c>
      <c r="B21" s="32" t="inlineStr">
        <is>
          <t>ILUMINACIÓN</t>
        </is>
      </c>
      <c r="C21" s="32" t="inlineStr">
        <is>
          <t>Blinder para iluminación exterior en Truss para Iluminación de 2mts</t>
        </is>
      </c>
      <c r="D21" s="32" t="n">
        <v>8</v>
      </c>
      <c r="E21" s="33" t="n">
        <v>193512</v>
      </c>
      <c r="F21" s="33">
        <f>D21*E21</f>
        <v/>
      </c>
      <c r="G21" s="33" t="n">
        <v>220000</v>
      </c>
      <c r="H21" s="33">
        <f>D21*G21</f>
        <v/>
      </c>
      <c r="I21" s="33">
        <f>H21-F21</f>
        <v/>
      </c>
    </row>
    <row r="22">
      <c r="A22" s="32" t="n">
        <v>18</v>
      </c>
      <c r="B22" s="32" t="inlineStr">
        <is>
          <t>ILUMINACIÓN</t>
        </is>
      </c>
      <c r="C22" s="32" t="inlineStr">
        <is>
          <t>Iluminación tipo feria 500mts</t>
        </is>
      </c>
      <c r="D22" s="32" t="n">
        <v>500</v>
      </c>
      <c r="E22" s="33" t="n">
        <v>8796</v>
      </c>
      <c r="F22" s="33">
        <f>D22*E22</f>
        <v/>
      </c>
      <c r="G22" s="33" t="n">
        <v>10000</v>
      </c>
      <c r="H22" s="33">
        <f>D22*G22</f>
        <v/>
      </c>
      <c r="I22" s="33">
        <f>H22-F22</f>
        <v/>
      </c>
    </row>
    <row r="23">
      <c r="A23" s="32" t="n">
        <v>19</v>
      </c>
      <c r="B23" s="32" t="inlineStr">
        <is>
          <t>ILUMINACIÓN</t>
        </is>
      </c>
      <c r="C23" s="32" t="inlineStr">
        <is>
          <t>Consola de luces GRANDMA 2 CW + FADER WING</t>
        </is>
      </c>
      <c r="D23" s="32" t="n">
        <v>1</v>
      </c>
      <c r="E23" s="33" t="n">
        <v>439800</v>
      </c>
      <c r="F23" s="33">
        <f>D23*E23</f>
        <v/>
      </c>
      <c r="G23" s="33" t="n">
        <v>500000</v>
      </c>
      <c r="H23" s="33">
        <f>D23*G23</f>
        <v/>
      </c>
      <c r="I23" s="33">
        <f>H23-F23</f>
        <v/>
      </c>
    </row>
    <row r="24">
      <c r="A24" s="32" t="n">
        <v>20</v>
      </c>
      <c r="B24" s="32" t="inlineStr">
        <is>
          <t>ILUMINACIÓN</t>
        </is>
      </c>
      <c r="C24" s="32" t="inlineStr">
        <is>
          <t>Camara de humo Hazer PRO</t>
        </is>
      </c>
      <c r="D24" s="32" t="n">
        <v>2</v>
      </c>
      <c r="E24" s="33" t="n">
        <v>131940</v>
      </c>
      <c r="F24" s="33">
        <f>D24*E24</f>
        <v/>
      </c>
      <c r="G24" s="33" t="n">
        <v>150000</v>
      </c>
      <c r="H24" s="33">
        <f>D24*G24</f>
        <v/>
      </c>
      <c r="I24" s="33">
        <f>H24-F24</f>
        <v/>
      </c>
    </row>
    <row r="25">
      <c r="A25" s="32" t="n">
        <v>21</v>
      </c>
      <c r="B25" s="32" t="inlineStr">
        <is>
          <t>ILUMINACIÓN</t>
        </is>
      </c>
      <c r="C25" s="32" t="inlineStr">
        <is>
          <t>Luminotécnico</t>
        </is>
      </c>
      <c r="D25" s="32" t="n">
        <v>1</v>
      </c>
      <c r="E25" s="33" t="n">
        <v>439800</v>
      </c>
      <c r="F25" s="33">
        <f>D25*E25</f>
        <v/>
      </c>
      <c r="G25" s="33" t="n">
        <v>500000</v>
      </c>
      <c r="H25" s="33">
        <f>D25*G25</f>
        <v/>
      </c>
      <c r="I25" s="33">
        <f>H25-F25</f>
        <v/>
      </c>
    </row>
    <row r="26">
      <c r="A26" s="32" t="n">
        <v>22</v>
      </c>
      <c r="B26" s="32" t="inlineStr">
        <is>
          <t>ILUMINACIÓN</t>
        </is>
      </c>
      <c r="C26" s="32" t="inlineStr">
        <is>
          <t>Auxiliar de iluminación</t>
        </is>
      </c>
      <c r="D26" s="32" t="n">
        <v>1</v>
      </c>
      <c r="E26" s="33" t="n">
        <v>263880</v>
      </c>
      <c r="F26" s="33">
        <f>D26*E26</f>
        <v/>
      </c>
      <c r="G26" s="33" t="n">
        <v>300000</v>
      </c>
      <c r="H26" s="33">
        <f>D26*G26</f>
        <v/>
      </c>
      <c r="I26" s="33">
        <f>H26-F26</f>
        <v/>
      </c>
    </row>
    <row r="27">
      <c r="A27" s="32" t="n">
        <v>23</v>
      </c>
      <c r="B27" s="32" t="inlineStr">
        <is>
          <t>ESTRUCTURA</t>
        </is>
      </c>
      <c r="C27" s="32" t="inlineStr">
        <is>
          <t>Escenario principal GROUND SUPPORT DE 12,80 X 9,80 X 7 MTS con tarima americana de 9x8 mts + puente interno para anclaje de iluminación y pantallas, TARIMA DE 9,76 X 8,54 X 1,40 ALTURA + 2 Escaleras de acceso</t>
        </is>
      </c>
      <c r="D27" s="32" t="n">
        <v>1</v>
      </c>
      <c r="E27" s="33" t="n">
        <v>7916402</v>
      </c>
      <c r="F27" s="33">
        <f>D27*E27</f>
        <v/>
      </c>
      <c r="G27" s="33" t="n">
        <v>9000000</v>
      </c>
      <c r="H27" s="33">
        <f>D27*G27</f>
        <v/>
      </c>
      <c r="I27" s="33">
        <f>H27-F27</f>
        <v/>
      </c>
    </row>
    <row r="28">
      <c r="A28" s="32" t="n">
        <v>24</v>
      </c>
      <c r="B28" s="32" t="inlineStr">
        <is>
          <t>ESTRUCTURA</t>
        </is>
      </c>
      <c r="C28" s="32" t="inlineStr">
        <is>
          <t>Portico elevado sonido de relevo de 3x3mts</t>
        </is>
      </c>
      <c r="D28" s="32" t="n">
        <v>1</v>
      </c>
      <c r="E28" s="33" t="n">
        <v>879600</v>
      </c>
      <c r="F28" s="33">
        <f>D28*E28</f>
        <v/>
      </c>
      <c r="G28" s="33" t="n">
        <v>1000000</v>
      </c>
      <c r="H28" s="33">
        <f>D28*G28</f>
        <v/>
      </c>
      <c r="I28" s="33">
        <f>H28-F28</f>
        <v/>
      </c>
    </row>
    <row r="29">
      <c r="A29" s="32" t="n">
        <v>25</v>
      </c>
      <c r="B29" s="32" t="inlineStr">
        <is>
          <t>ESTRUCTURA</t>
        </is>
      </c>
      <c r="C29" s="32" t="inlineStr">
        <is>
          <t>Estructuras tipo boom de 4 mts para luces de feria</t>
        </is>
      </c>
      <c r="D29" s="32" t="n">
        <v>12</v>
      </c>
      <c r="E29" s="33" t="n">
        <v>105552</v>
      </c>
      <c r="F29" s="33">
        <f>D29*E29</f>
        <v/>
      </c>
      <c r="G29" s="33" t="n">
        <v>120000</v>
      </c>
      <c r="H29" s="33">
        <f>D29*G29</f>
        <v/>
      </c>
      <c r="I29" s="33">
        <f>H29-F29</f>
        <v/>
      </c>
    </row>
    <row r="30">
      <c r="A30" s="32" t="n">
        <v>26</v>
      </c>
      <c r="B30" s="32" t="inlineStr">
        <is>
          <t>AUDIOVISUALES</t>
        </is>
      </c>
      <c r="C30" s="32" t="inlineStr">
        <is>
          <t>Pantalla led 3,9 Pitch de 4x3 mts y 4 lagrimas horizontales de 0,5x2mts para escenario principal</t>
        </is>
      </c>
      <c r="D30" s="32" t="n">
        <v>1</v>
      </c>
      <c r="E30" s="33" t="n">
        <v>4222081</v>
      </c>
      <c r="F30" s="33">
        <f>D30*E30</f>
        <v/>
      </c>
      <c r="G30" s="33" t="n">
        <v>4800000</v>
      </c>
      <c r="H30" s="33">
        <f>D30*G30</f>
        <v/>
      </c>
      <c r="I30" s="33">
        <f>H30-F30</f>
        <v/>
      </c>
    </row>
    <row r="31">
      <c r="A31" s="32" t="n">
        <v>27</v>
      </c>
      <c r="B31" s="32" t="inlineStr">
        <is>
          <t>GENERADORES ELECTRICOS</t>
        </is>
      </c>
      <c r="C31" s="32" t="inlineStr">
        <is>
          <t>Generador eléctrico 100kva</t>
        </is>
      </c>
      <c r="D31" s="32" t="n">
        <v>1</v>
      </c>
      <c r="E31" s="33" t="n">
        <v>1495320</v>
      </c>
      <c r="F31" s="33">
        <f>D31*E31</f>
        <v/>
      </c>
      <c r="G31" s="33" t="n">
        <v>1700000</v>
      </c>
      <c r="H31" s="33">
        <f>D31*G31</f>
        <v/>
      </c>
      <c r="I31" s="33">
        <f>H31-F31</f>
        <v/>
      </c>
    </row>
    <row r="32">
      <c r="A32" s="32" t="n">
        <v>28</v>
      </c>
      <c r="B32" s="32" t="inlineStr">
        <is>
          <t>GENERADORES ELECTRICOS</t>
        </is>
      </c>
      <c r="C32" s="32" t="inlineStr">
        <is>
          <t>Generador eléctrico 75kva</t>
        </is>
      </c>
      <c r="D32" s="32" t="n">
        <v>1</v>
      </c>
      <c r="E32" s="33" t="n">
        <v>1407360</v>
      </c>
      <c r="F32" s="33">
        <f>D32*E32</f>
        <v/>
      </c>
      <c r="G32" s="33" t="n">
        <v>1600000</v>
      </c>
      <c r="H32" s="33">
        <f>D32*G32</f>
        <v/>
      </c>
      <c r="I32" s="33">
        <f>H32-F32</f>
        <v/>
      </c>
    </row>
    <row r="33">
      <c r="A33" s="32" t="n">
        <v>29</v>
      </c>
      <c r="B33" s="32" t="inlineStr">
        <is>
          <t>GENERADORES ELECTRICOS</t>
        </is>
      </c>
      <c r="C33" s="32" t="inlineStr">
        <is>
          <t>20 Puntos Electricos para las carpas</t>
        </is>
      </c>
      <c r="D33" s="32" t="n">
        <v>20</v>
      </c>
      <c r="E33" s="33" t="n">
        <v>87960</v>
      </c>
      <c r="F33" s="33">
        <f>D33*E33</f>
        <v/>
      </c>
      <c r="G33" s="33" t="n">
        <v>100000</v>
      </c>
      <c r="H33" s="33">
        <f>D33*G33</f>
        <v/>
      </c>
      <c r="I33" s="33">
        <f>H33-F33</f>
        <v/>
      </c>
    </row>
    <row r="34">
      <c r="A34" s="32" t="n">
        <v>30</v>
      </c>
      <c r="B34" s="32" t="inlineStr">
        <is>
          <t>ADICIONALES</t>
        </is>
      </c>
      <c r="C34" s="32" t="inlineStr">
        <is>
          <t>Carpas tipo hangar de 12 x 12 mts sin ambientar + Carpas 4x4 blancas para emprendimientos con punto de corriente cada carpa</t>
        </is>
      </c>
      <c r="D34" s="32" t="n">
        <v>1</v>
      </c>
      <c r="E34" s="33" t="n">
        <v>6597002</v>
      </c>
      <c r="F34" s="33">
        <f>D34*E34</f>
        <v/>
      </c>
      <c r="G34" s="33" t="n">
        <v>7500000</v>
      </c>
      <c r="H34" s="33">
        <f>D34*G34</f>
        <v/>
      </c>
      <c r="I34" s="33">
        <f>H34-F34</f>
        <v/>
      </c>
    </row>
    <row r="35">
      <c r="A35" s="32" t="n">
        <v>31</v>
      </c>
      <c r="B35" s="32" t="inlineStr">
        <is>
          <t>ADICIONALES</t>
        </is>
      </c>
      <c r="C35" s="32" t="inlineStr">
        <is>
          <t>Combo TV 50" + PS5 + Base a piso</t>
        </is>
      </c>
      <c r="D35" s="32" t="n">
        <v>6</v>
      </c>
      <c r="E35" s="33" t="n">
        <v>307860</v>
      </c>
      <c r="F35" s="33">
        <f>D35*E35</f>
        <v/>
      </c>
      <c r="G35" s="33" t="n">
        <v>350000</v>
      </c>
      <c r="H35" s="33">
        <f>D35*G35</f>
        <v/>
      </c>
      <c r="I35" s="33">
        <f>H35-F35</f>
        <v/>
      </c>
    </row>
    <row r="36">
      <c r="A36" s="32" t="n">
        <v>32</v>
      </c>
      <c r="B36" s="32" t="inlineStr">
        <is>
          <t>ZONA INFANTIL</t>
        </is>
      </c>
      <c r="C36" s="32" t="inlineStr">
        <is>
          <t>Inflabe castillo</t>
        </is>
      </c>
      <c r="D36" s="32" t="n">
        <v>1</v>
      </c>
      <c r="E36" s="33" t="n">
        <v>483780</v>
      </c>
      <c r="F36" s="33">
        <f>D36*E36</f>
        <v/>
      </c>
      <c r="G36" s="33" t="n">
        <v>550000</v>
      </c>
      <c r="H36" s="33">
        <f>D36*G36</f>
        <v/>
      </c>
      <c r="I36" s="33">
        <f>H36-F36</f>
        <v/>
      </c>
    </row>
    <row r="37">
      <c r="A37" s="32" t="n">
        <v>33</v>
      </c>
      <c r="B37" s="32" t="inlineStr">
        <is>
          <t>ZONA INFANTIL</t>
        </is>
      </c>
      <c r="C37" s="32" t="inlineStr">
        <is>
          <t>Cañon de espuma grande</t>
        </is>
      </c>
      <c r="D37" s="32" t="n">
        <v>1</v>
      </c>
      <c r="E37" s="33" t="n">
        <v>483780</v>
      </c>
      <c r="F37" s="33">
        <f>D37*E37</f>
        <v/>
      </c>
      <c r="G37" s="33" t="n">
        <v>550000</v>
      </c>
      <c r="H37" s="33">
        <f>D37*G37</f>
        <v/>
      </c>
      <c r="I37" s="33">
        <f>H37-F37</f>
        <v/>
      </c>
    </row>
    <row r="38">
      <c r="A38" s="32" t="n">
        <v>34</v>
      </c>
      <c r="B38" s="32" t="inlineStr">
        <is>
          <t>ZONA INFANTIL</t>
        </is>
      </c>
      <c r="C38" s="32" t="inlineStr">
        <is>
          <t>Inflable pequeño niños pequeños</t>
        </is>
      </c>
      <c r="D38" s="32" t="n">
        <v>1</v>
      </c>
      <c r="E38" s="33" t="n">
        <v>263880</v>
      </c>
      <c r="F38" s="33">
        <f>D38*E38</f>
        <v/>
      </c>
      <c r="G38" s="33" t="n">
        <v>300000</v>
      </c>
      <c r="H38" s="33">
        <f>D38*G38</f>
        <v/>
      </c>
      <c r="I38" s="33">
        <f>H38-F38</f>
        <v/>
      </c>
    </row>
    <row r="39">
      <c r="A39" s="32" t="n">
        <v>35</v>
      </c>
      <c r="B39" s="32" t="inlineStr">
        <is>
          <t>ZONA INFANTIL</t>
        </is>
      </c>
      <c r="C39" s="32" t="inlineStr">
        <is>
          <t>Muro de escalar Niños 5-12 años</t>
        </is>
      </c>
      <c r="D39" s="32" t="n">
        <v>1</v>
      </c>
      <c r="E39" s="33" t="n">
        <v>703680</v>
      </c>
      <c r="F39" s="33">
        <f>D39*E39</f>
        <v/>
      </c>
      <c r="G39" s="33" t="n">
        <v>800000</v>
      </c>
      <c r="H39" s="33">
        <f>D39*G39</f>
        <v/>
      </c>
      <c r="I39" s="33">
        <f>H39-F39</f>
        <v/>
      </c>
    </row>
    <row r="40">
      <c r="A40" s="32" t="n">
        <v>36</v>
      </c>
      <c r="B40" s="32" t="inlineStr">
        <is>
          <t>ZONA INFANTIL</t>
        </is>
      </c>
      <c r="C40" s="32" t="inlineStr">
        <is>
          <t>Inflable pista de obstaculos uso mixto alternando</t>
        </is>
      </c>
      <c r="D40" s="32" t="n">
        <v>1</v>
      </c>
      <c r="E40" s="33" t="n">
        <v>439800</v>
      </c>
      <c r="F40" s="33">
        <f>D40*E40</f>
        <v/>
      </c>
      <c r="G40" s="33" t="n">
        <v>500000</v>
      </c>
      <c r="H40" s="33">
        <f>D40*G40</f>
        <v/>
      </c>
      <c r="I40" s="33">
        <f>H40-F40</f>
        <v/>
      </c>
    </row>
    <row r="41">
      <c r="A41" s="32" t="n">
        <v>37</v>
      </c>
      <c r="B41" s="32" t="inlineStr">
        <is>
          <t>ZONA INFANTIL</t>
        </is>
      </c>
      <c r="C41" s="32" t="inlineStr">
        <is>
          <t>Transporte</t>
        </is>
      </c>
      <c r="D41" s="32" t="n">
        <v>1</v>
      </c>
      <c r="E41" s="33" t="n">
        <v>263880</v>
      </c>
      <c r="F41" s="33">
        <f>D41*E41</f>
        <v/>
      </c>
      <c r="G41" s="33" t="n">
        <v>300000</v>
      </c>
      <c r="H41" s="33">
        <f>D41*G41</f>
        <v/>
      </c>
      <c r="I41" s="33">
        <f>H41-F41</f>
        <v/>
      </c>
    </row>
    <row r="42">
      <c r="A42" s="32" t="n">
        <v>38</v>
      </c>
      <c r="B42" s="32" t="inlineStr">
        <is>
          <t>GASTO OPERATIVO Y TRANSPORTE DE EQUIPOS</t>
        </is>
      </c>
      <c r="C42" s="32" t="inlineStr">
        <is>
          <t>Gasto Operativo + Transporte de equipos</t>
        </is>
      </c>
      <c r="D42" s="32" t="n">
        <v>1</v>
      </c>
      <c r="E42" s="33" t="n">
        <v>1759201</v>
      </c>
      <c r="F42" s="33">
        <f>D42*E42</f>
        <v/>
      </c>
      <c r="G42" s="33" t="n">
        <v>2000000</v>
      </c>
      <c r="H42" s="33">
        <f>D42*G42</f>
        <v/>
      </c>
      <c r="I42" s="33">
        <f>H42-F42</f>
        <v/>
      </c>
    </row>
    <row r="43">
      <c r="A43" s="34" t="inlineStr">
        <is>
          <t>TOTALES CONSOLIDADOS PRE-MONTAJE:</t>
        </is>
      </c>
      <c r="B43" s="22" t="n"/>
      <c r="C43" s="22" t="n"/>
      <c r="D43" s="22" t="n"/>
      <c r="E43" s="22" t="n"/>
      <c r="F43" s="35">
        <f>SUM(F5:F42)</f>
        <v/>
      </c>
      <c r="G43" s="36" t="inlineStr">
        <is>
          <t>-</t>
        </is>
      </c>
      <c r="H43" s="35">
        <f>SUM(H5:H42)</f>
        <v/>
      </c>
      <c r="I43" s="37">
        <f>H43-F43</f>
        <v/>
      </c>
    </row>
  </sheetData>
  <mergeCells count="2">
    <mergeCell ref="A1:I2"/>
    <mergeCell ref="A43:E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2026-10-10T15:12:35Z</dcterms:created>
  <dcterms:modified xmlns:dcterms="http://purl.org/dc/terms/" xmlns:xsi="http://www.w3.org/2001/XMLSchema-instance" xsi:type="dcterms:W3CDTF">2026-10-10T15:12:35Z</dcterms:modified>
</cp:coreProperties>
</file>