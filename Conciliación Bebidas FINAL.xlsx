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STRO 14 3000\Documents\F3R\Cotizaciones\10. OCTUBRE\ENAP\Family Day\"/>
    </mc:Choice>
  </mc:AlternateContent>
  <xr:revisionPtr revIDLastSave="0" documentId="13_ncr:1_{AB3AAC19-DA6B-4D01-ABDF-C7F500DF895A}" xr6:coauthVersionLast="47" xr6:coauthVersionMax="47" xr10:uidLastSave="{00000000-0000-0000-0000-000000000000}"/>
  <bookViews>
    <workbookView xWindow="-120" yWindow="-120" windowWidth="20730" windowHeight="11040" xr2:uid="{2860196C-844C-47A7-A20F-415232A5812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7" i="1" s="1"/>
  <c r="C9" i="1"/>
  <c r="C8" i="1"/>
  <c r="C7" i="1"/>
  <c r="C6" i="1" l="1"/>
  <c r="C13" i="1" s="1"/>
  <c r="B18" i="1"/>
  <c r="B22" i="1"/>
  <c r="B24" i="1" s="1"/>
  <c r="B26" i="1" s="1"/>
  <c r="C22" i="1"/>
  <c r="C24" i="1" s="1"/>
  <c r="C15" i="1" l="1"/>
  <c r="C14" i="1" l="1"/>
</calcChain>
</file>

<file path=xl/sharedStrings.xml><?xml version="1.0" encoding="utf-8"?>
<sst xmlns="http://schemas.openxmlformats.org/spreadsheetml/2006/main" count="43" uniqueCount="39">
  <si>
    <t>ESTADO DE RESULTADOS FAMILY DAY – LIQUIDACIÓN REPORTADA vs. AJUSTADA</t>
  </si>
  <si>
    <t>Columna B: cifras de la liquidación suministrada. Columna C: con los ajustes de esta conciliación.</t>
  </si>
  <si>
    <t>Concepto</t>
  </si>
  <si>
    <t>Reportado</t>
  </si>
  <si>
    <t>Ajustado</t>
  </si>
  <si>
    <t>Observación</t>
  </si>
  <si>
    <t>Venta registrada en cajas</t>
  </si>
  <si>
    <t>(-) Base cajas – menudo</t>
  </si>
  <si>
    <t>5 cajas x $1.000.000; se devuelve, no es costo ni venta.</t>
  </si>
  <si>
    <t>(-) Postobón</t>
  </si>
  <si>
    <t>Pagado. Incluye Squash no recibido (ver ajuste abajo).</t>
  </si>
  <si>
    <t>(-) Coca-Cola</t>
  </si>
  <si>
    <t>Pagado.</t>
  </si>
  <si>
    <t xml:space="preserve">(-) Agua </t>
  </si>
  <si>
    <t>Pagado. Incluye agua en bolsa de staff.</t>
  </si>
  <si>
    <t>(-) Nómina, compras y gastos</t>
  </si>
  <si>
    <t>(-) Impoconsumo</t>
  </si>
  <si>
    <t>(-) Comisión datáfono</t>
  </si>
  <si>
    <t>UTILIDAD SEGÚN LIQUIDACIÓN</t>
  </si>
  <si>
    <t>(+) Saldo a favor Postobón por cobrar (Squash no recibido)</t>
  </si>
  <si>
    <t>Pagado y no recibido. Es una cuenta por cobrar a Postobón. F3R Pte Conciliar.</t>
  </si>
  <si>
    <t>(+) Cruce Paisita a costo (por cobrar a Paisita)</t>
  </si>
  <si>
    <t>Producto pagado por el evento que se llevó Paisita.  F3R</t>
  </si>
  <si>
    <t>(-) Inventario retenido por F3R (a costo)</t>
  </si>
  <si>
    <t>Speed Max 16 cajas. F3R</t>
  </si>
  <si>
    <t>UTILIDAD AJUSTADA DEL EVENTO</t>
  </si>
  <si>
    <t>Participación 50% por socio</t>
  </si>
  <si>
    <t>LIQUIDACIÓN POR SOCIO (ajustada)</t>
  </si>
  <si>
    <t>ENAP</t>
  </si>
  <si>
    <t>F3R</t>
  </si>
  <si>
    <t>Participación 50%</t>
  </si>
  <si>
    <t>(-) Producto suelto entregado a ENAP (a costo)</t>
  </si>
  <si>
    <t>Reportado en la liquidación: $686.467; recalculado con costos actualizados.</t>
  </si>
  <si>
    <t>UTILIDAD NETA A DISTRIBUIR</t>
  </si>
  <si>
    <t>Detalle de gastos (según liquidación)</t>
  </si>
  <si>
    <t>Valor</t>
  </si>
  <si>
    <t>Total detalle de gastos (tabla de la liquidación)</t>
  </si>
  <si>
    <t>La venta real fue de $54.978.952</t>
  </si>
  <si>
    <t>GATORADE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</si>
</sst>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\$#,##0.00;&quot;($&quot;#,##0.00\);\-"/>
    <numFmt numFmtId="165" formatCode="\$#,##0;&quot;($&quot;#,##0\);\-"/>
    <numFmt numFmtId="167" formatCode="_-&quot;$&quot;\ * #,##0_-;\-&quot;$&quot;\ * #,##0_-;_-&quot;$&quot;\ 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00000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sz val="9"/>
      <color rgb="FFFFFFFF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/>
    <xf numFmtId="164" fontId="8" fillId="0" borderId="1" xfId="0" applyNumberFormat="1" applyFont="1" applyBorder="1"/>
    <xf numFmtId="164" fontId="9" fillId="3" borderId="1" xfId="0" applyNumberFormat="1" applyFont="1" applyFill="1" applyBorder="1"/>
    <xf numFmtId="164" fontId="5" fillId="0" borderId="1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4" fontId="4" fillId="2" borderId="1" xfId="0" applyNumberFormat="1" applyFont="1" applyFill="1" applyBorder="1"/>
    <xf numFmtId="164" fontId="5" fillId="0" borderId="1" xfId="0" applyNumberFormat="1" applyFont="1" applyBorder="1"/>
    <xf numFmtId="164" fontId="11" fillId="0" borderId="1" xfId="0" applyNumberFormat="1" applyFont="1" applyBorder="1"/>
    <xf numFmtId="0" fontId="3" fillId="0" borderId="5" xfId="0" applyFont="1" applyBorder="1"/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7" fillId="0" borderId="8" xfId="0" applyFont="1" applyBorder="1" applyAlignment="1">
      <alignment vertical="top" wrapText="1"/>
    </xf>
    <xf numFmtId="0" fontId="9" fillId="3" borderId="7" xfId="0" applyFont="1" applyFill="1" applyBorder="1"/>
    <xf numFmtId="0" fontId="7" fillId="3" borderId="8" xfId="0" applyFont="1" applyFill="1" applyBorder="1" applyAlignment="1">
      <alignment vertical="top" wrapText="1"/>
    </xf>
    <xf numFmtId="0" fontId="5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4" fillId="2" borderId="7" xfId="0" applyFont="1" applyFill="1" applyBorder="1"/>
    <xf numFmtId="0" fontId="10" fillId="2" borderId="8" xfId="0" applyFont="1" applyFill="1" applyBorder="1" applyAlignment="1">
      <alignment vertical="top" wrapText="1"/>
    </xf>
    <xf numFmtId="0" fontId="9" fillId="0" borderId="5" xfId="0" applyFont="1" applyBorder="1"/>
    <xf numFmtId="0" fontId="5" fillId="0" borderId="9" xfId="0" applyFont="1" applyBorder="1"/>
    <xf numFmtId="165" fontId="6" fillId="0" borderId="10" xfId="0" applyNumberFormat="1" applyFont="1" applyBorder="1"/>
    <xf numFmtId="0" fontId="0" fillId="0" borderId="11" xfId="0" applyBorder="1"/>
    <xf numFmtId="0" fontId="0" fillId="0" borderId="12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0" fillId="0" borderId="0" xfId="1" applyNumberFormat="1" applyFont="1" applyBorder="1"/>
    <xf numFmtId="164" fontId="0" fillId="0" borderId="0" xfId="0" applyNumberForma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CONCILIACION_BEBIDAS_FAMILY_DAY_v2.xlsx" TargetMode="External"/><Relationship Id="rId2" Type="http://schemas.openxmlformats.org/officeDocument/2006/relationships/externalLinkPath" Target="file:///C:\Users\VOSTRO%2014%203000\Downloads\CONCILIACION_BEBIDAS_FAMILY_DAY_v2.xlsx" TargetMode="External"/><Relationship Id="rId1" Type="http://schemas.openxmlformats.org/officeDocument/2006/relationships/externalLinkPath" Target="/Users/VOSTRO%2014%203000/Downloads/CONCILIACION_BEBIDAS_FAMILY_DAY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n"/>
      <sheetName val="Estado de resultados"/>
      <sheetName val="Venta real vs teorica"/>
      <sheetName val="Conciliacion por producto"/>
      <sheetName val="Proveedores"/>
      <sheetName val="Factura Postobón"/>
      <sheetName val="Matriz costos"/>
      <sheetName val="Devoluciones proveedor"/>
      <sheetName val="Socio ENAP"/>
      <sheetName val="Cruce Paisita"/>
      <sheetName val="Inventario F3R"/>
      <sheetName val="Descuadres"/>
    </sheetNames>
    <sheetDataSet>
      <sheetData sheetId="0"/>
      <sheetData sheetId="1"/>
      <sheetData sheetId="2">
        <row r="6">
          <cell r="B6">
            <v>-5000000</v>
          </cell>
        </row>
      </sheetData>
      <sheetData sheetId="3"/>
      <sheetData sheetId="4">
        <row r="5">
          <cell r="F5">
            <v>21208985</v>
          </cell>
          <cell r="G5">
            <v>1125584</v>
          </cell>
        </row>
        <row r="6">
          <cell r="F6">
            <v>3573600</v>
          </cell>
        </row>
        <row r="7">
          <cell r="F7">
            <v>2530000</v>
          </cell>
        </row>
      </sheetData>
      <sheetData sheetId="5"/>
      <sheetData sheetId="6"/>
      <sheetData sheetId="7"/>
      <sheetData sheetId="8"/>
      <sheetData sheetId="9">
        <row r="11">
          <cell r="F11">
            <v>2241375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15F8-BD52-4FBF-8EF1-6EE57CB4F300}">
  <dimension ref="A1:D29"/>
  <sheetViews>
    <sheetView tabSelected="1" topLeftCell="A12" workbookViewId="0">
      <selection activeCell="E26" sqref="E26"/>
    </sheetView>
  </sheetViews>
  <sheetFormatPr baseColWidth="10" defaultRowHeight="15" x14ac:dyDescent="0.25"/>
  <cols>
    <col min="1" max="1" width="50" customWidth="1"/>
    <col min="2" max="3" width="18" customWidth="1"/>
    <col min="4" max="4" width="56" customWidth="1"/>
  </cols>
  <sheetData>
    <row r="1" spans="1:4" ht="27" customHeight="1" x14ac:dyDescent="0.25">
      <c r="A1" s="29" t="s">
        <v>0</v>
      </c>
      <c r="B1" s="30"/>
      <c r="C1" s="30"/>
      <c r="D1" s="31"/>
    </row>
    <row r="2" spans="1:4" x14ac:dyDescent="0.25">
      <c r="A2" s="10" t="s">
        <v>1</v>
      </c>
      <c r="B2" s="11"/>
      <c r="C2" s="11"/>
      <c r="D2" s="12"/>
    </row>
    <row r="3" spans="1:4" x14ac:dyDescent="0.25">
      <c r="A3" s="13"/>
      <c r="B3" s="11"/>
      <c r="C3" s="11"/>
      <c r="D3" s="12"/>
    </row>
    <row r="4" spans="1:4" x14ac:dyDescent="0.25">
      <c r="A4" s="14" t="s">
        <v>2</v>
      </c>
      <c r="B4" s="1" t="s">
        <v>3</v>
      </c>
      <c r="C4" s="1" t="s">
        <v>4</v>
      </c>
      <c r="D4" s="15" t="s">
        <v>5</v>
      </c>
    </row>
    <row r="5" spans="1:4" x14ac:dyDescent="0.25">
      <c r="A5" s="16" t="s">
        <v>6</v>
      </c>
      <c r="B5" s="2">
        <v>59978952</v>
      </c>
      <c r="C5" s="2">
        <v>59978952</v>
      </c>
      <c r="D5" s="17" t="s">
        <v>37</v>
      </c>
    </row>
    <row r="6" spans="1:4" x14ac:dyDescent="0.25">
      <c r="A6" s="16" t="s">
        <v>7</v>
      </c>
      <c r="B6" s="2">
        <v>-5000000</v>
      </c>
      <c r="C6" s="3">
        <f>'[1]Venta real vs teorica'!B6</f>
        <v>-5000000</v>
      </c>
      <c r="D6" s="17" t="s">
        <v>8</v>
      </c>
    </row>
    <row r="7" spans="1:4" x14ac:dyDescent="0.25">
      <c r="A7" s="16" t="s">
        <v>9</v>
      </c>
      <c r="B7" s="2">
        <v>-21208985</v>
      </c>
      <c r="C7" s="3">
        <f>-[1]Proveedores!F5</f>
        <v>-21208985</v>
      </c>
      <c r="D7" s="17" t="s">
        <v>10</v>
      </c>
    </row>
    <row r="8" spans="1:4" x14ac:dyDescent="0.25">
      <c r="A8" s="16" t="s">
        <v>11</v>
      </c>
      <c r="B8" s="2">
        <v>-3573600</v>
      </c>
      <c r="C8" s="3">
        <f>-[1]Proveedores!F6</f>
        <v>-3573600</v>
      </c>
      <c r="D8" s="17" t="s">
        <v>12</v>
      </c>
    </row>
    <row r="9" spans="1:4" x14ac:dyDescent="0.25">
      <c r="A9" s="16" t="s">
        <v>13</v>
      </c>
      <c r="B9" s="2">
        <v>-2530000</v>
      </c>
      <c r="C9" s="3">
        <f>-[1]Proveedores!F7</f>
        <v>-2530000</v>
      </c>
      <c r="D9" s="17" t="s">
        <v>14</v>
      </c>
    </row>
    <row r="10" spans="1:4" x14ac:dyDescent="0.25">
      <c r="A10" s="16" t="s">
        <v>15</v>
      </c>
      <c r="B10" s="2">
        <v>-8341264</v>
      </c>
      <c r="C10" s="2">
        <v>-8341264</v>
      </c>
      <c r="D10" s="17" t="s">
        <v>12</v>
      </c>
    </row>
    <row r="11" spans="1:4" x14ac:dyDescent="0.25">
      <c r="A11" s="16" t="s">
        <v>16</v>
      </c>
      <c r="B11" s="2">
        <v>-4274000</v>
      </c>
      <c r="C11" s="2">
        <v>-4274000</v>
      </c>
      <c r="D11" s="17"/>
    </row>
    <row r="12" spans="1:4" x14ac:dyDescent="0.25">
      <c r="A12" s="16" t="s">
        <v>17</v>
      </c>
      <c r="B12" s="2">
        <v>-1193581.1399999999</v>
      </c>
      <c r="C12" s="2">
        <v>-1193581.1399999999</v>
      </c>
      <c r="D12" s="17"/>
    </row>
    <row r="13" spans="1:4" x14ac:dyDescent="0.25">
      <c r="A13" s="18" t="s">
        <v>18</v>
      </c>
      <c r="B13" s="4">
        <f>SUM(B5:B12)</f>
        <v>13857521.859999999</v>
      </c>
      <c r="C13" s="4">
        <f>SUM(C5:C12)</f>
        <v>13857521.859999999</v>
      </c>
      <c r="D13" s="19"/>
    </row>
    <row r="14" spans="1:4" ht="24" x14ac:dyDescent="0.25">
      <c r="A14" s="20" t="s">
        <v>19</v>
      </c>
      <c r="B14" s="5">
        <v>0</v>
      </c>
      <c r="C14" s="6">
        <f>[1]Proveedores!G5</f>
        <v>1125584</v>
      </c>
      <c r="D14" s="21" t="s">
        <v>20</v>
      </c>
    </row>
    <row r="15" spans="1:4" x14ac:dyDescent="0.25">
      <c r="A15" s="20" t="s">
        <v>21</v>
      </c>
      <c r="B15" s="5">
        <v>0</v>
      </c>
      <c r="C15" s="6">
        <f>'[1]Cruce Paisita'!F11</f>
        <v>2241375</v>
      </c>
      <c r="D15" s="21" t="s">
        <v>22</v>
      </c>
    </row>
    <row r="16" spans="1:4" x14ac:dyDescent="0.25">
      <c r="A16" s="20" t="s">
        <v>23</v>
      </c>
      <c r="B16" s="6"/>
      <c r="C16" s="6">
        <v>575985</v>
      </c>
      <c r="D16" s="21" t="s">
        <v>24</v>
      </c>
    </row>
    <row r="17" spans="1:4" x14ac:dyDescent="0.25">
      <c r="A17" s="22" t="s">
        <v>25</v>
      </c>
      <c r="B17" s="7">
        <f>B13+B14+B15</f>
        <v>13857521.859999999</v>
      </c>
      <c r="C17" s="7"/>
      <c r="D17" s="23"/>
    </row>
    <row r="18" spans="1:4" x14ac:dyDescent="0.25">
      <c r="A18" s="16" t="s">
        <v>26</v>
      </c>
      <c r="B18" s="8">
        <f>B17/2</f>
        <v>6928760.9299999997</v>
      </c>
      <c r="C18" s="9"/>
      <c r="D18" s="17"/>
    </row>
    <row r="19" spans="1:4" x14ac:dyDescent="0.25">
      <c r="A19" s="13"/>
      <c r="B19" s="11"/>
      <c r="C19" s="11"/>
      <c r="D19" s="12"/>
    </row>
    <row r="20" spans="1:4" x14ac:dyDescent="0.25">
      <c r="A20" s="24" t="s">
        <v>27</v>
      </c>
      <c r="B20" s="11"/>
      <c r="C20" s="11"/>
      <c r="D20" s="12"/>
    </row>
    <row r="21" spans="1:4" x14ac:dyDescent="0.25">
      <c r="A21" s="14" t="s">
        <v>2</v>
      </c>
      <c r="B21" s="1" t="s">
        <v>28</v>
      </c>
      <c r="C21" s="1" t="s">
        <v>29</v>
      </c>
      <c r="D21" s="15" t="s">
        <v>5</v>
      </c>
    </row>
    <row r="22" spans="1:4" x14ac:dyDescent="0.25">
      <c r="A22" s="16" t="s">
        <v>30</v>
      </c>
      <c r="B22" s="3">
        <f>B17/2</f>
        <v>6928760.9299999997</v>
      </c>
      <c r="C22" s="3">
        <f>B17/2</f>
        <v>6928760.9299999997</v>
      </c>
      <c r="D22" s="17"/>
    </row>
    <row r="23" spans="1:4" ht="24" x14ac:dyDescent="0.25">
      <c r="A23" s="16" t="s">
        <v>31</v>
      </c>
      <c r="B23" s="3">
        <v>682235</v>
      </c>
      <c r="C23" s="3"/>
      <c r="D23" s="17" t="s">
        <v>32</v>
      </c>
    </row>
    <row r="24" spans="1:4" x14ac:dyDescent="0.25">
      <c r="A24" s="22" t="s">
        <v>33</v>
      </c>
      <c r="B24" s="7">
        <f>B22-B23</f>
        <v>6246525.9299999997</v>
      </c>
      <c r="C24" s="7">
        <f>SUM(C22:C23)</f>
        <v>6928760.9299999997</v>
      </c>
      <c r="D24" s="23"/>
    </row>
    <row r="25" spans="1:4" x14ac:dyDescent="0.25">
      <c r="A25" s="13" t="s">
        <v>38</v>
      </c>
      <c r="B25" s="32">
        <v>247545</v>
      </c>
      <c r="C25" s="11"/>
      <c r="D25" s="12"/>
    </row>
    <row r="26" spans="1:4" x14ac:dyDescent="0.25">
      <c r="A26" s="13"/>
      <c r="B26" s="33">
        <f>SUM(B24:B25)</f>
        <v>6494070.9299999997</v>
      </c>
      <c r="C26" s="32">
        <v>6500000</v>
      </c>
      <c r="D26" s="12"/>
    </row>
    <row r="27" spans="1:4" x14ac:dyDescent="0.25">
      <c r="A27" s="24" t="s">
        <v>34</v>
      </c>
      <c r="B27" s="11"/>
      <c r="C27" s="11"/>
      <c r="D27" s="12"/>
    </row>
    <row r="28" spans="1:4" x14ac:dyDescent="0.25">
      <c r="A28" s="14" t="s">
        <v>2</v>
      </c>
      <c r="B28" s="1" t="s">
        <v>35</v>
      </c>
      <c r="C28" s="1"/>
      <c r="D28" s="15"/>
    </row>
    <row r="29" spans="1:4" ht="15.75" thickBot="1" x14ac:dyDescent="0.3">
      <c r="A29" s="25" t="s">
        <v>36</v>
      </c>
      <c r="B29" s="26">
        <v>8341264</v>
      </c>
      <c r="C29" s="27"/>
      <c r="D29" s="2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Lorcy Atencio</dc:creator>
  <cp:lastModifiedBy>Lorcy Atencio</cp:lastModifiedBy>
  <dcterms:created xsi:type="dcterms:W3CDTF">2026-10-09T05:14:50Z</dcterms:created>
  <dcterms:modified xsi:type="dcterms:W3CDTF">2026-10-10T14:52:19Z</dcterms:modified>
</cp:coreProperties>
</file>