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STRO 14 3000\Documents\F3R\Cotizaciones\10. OCTUBRE\ENAP\Family Day\"/>
    </mc:Choice>
  </mc:AlternateContent>
  <xr:revisionPtr revIDLastSave="0" documentId="8_{EB6A31C0-6342-476D-BDFD-0C05E4058AFD}" xr6:coauthVersionLast="47" xr6:coauthVersionMax="47" xr10:uidLastSave="{00000000-0000-0000-0000-000000000000}"/>
  <bookViews>
    <workbookView xWindow="-120" yWindow="-120" windowWidth="20730" windowHeight="11040" tabRatio="717" xr2:uid="{41D8D2D1-E459-49CB-8F85-1DF8CD8857ED}"/>
  </bookViews>
  <sheets>
    <sheet name="Bebidas" sheetId="1" r:id="rId1"/>
    <sheet name="Comparativo compras bebidas" sheetId="9" r:id="rId2"/>
    <sheet name="Mobiliario" sheetId="4" r:id="rId3"/>
    <sheet name="Cuentas Produccion" sheetId="8" r:id="rId4"/>
    <sheet name="Cuentas Adicionales" sheetId="6" r:id="rId5"/>
    <sheet name="Cuentas Bebidas" sheetId="12" r:id="rId6"/>
    <sheet name="Resumen Cuentas" sheetId="13" r:id="rId7"/>
    <sheet name="Resumen pagos " sheetId="10" r:id="rId8"/>
    <sheet name="Hoja1" sheetId="11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9" i="1" l="1"/>
  <c r="M29" i="1"/>
  <c r="O34" i="1"/>
  <c r="O30" i="1"/>
  <c r="O31" i="1"/>
  <c r="O29" i="1"/>
  <c r="O19" i="1"/>
  <c r="O20" i="1"/>
  <c r="O21" i="1"/>
  <c r="O22" i="1"/>
  <c r="O23" i="1"/>
  <c r="O24" i="1"/>
  <c r="O5" i="1"/>
  <c r="O6" i="1"/>
  <c r="O7" i="1"/>
  <c r="O8" i="1"/>
  <c r="O9" i="1"/>
  <c r="O10" i="1"/>
  <c r="O11" i="1"/>
  <c r="O12" i="1"/>
  <c r="O4" i="1"/>
  <c r="R36" i="1"/>
  <c r="F7" i="12"/>
  <c r="F9" i="12"/>
  <c r="F10" i="12"/>
  <c r="F11" i="12"/>
  <c r="F12" i="12"/>
  <c r="F13" i="12"/>
  <c r="F14" i="12"/>
  <c r="F15" i="12"/>
  <c r="F16" i="12"/>
  <c r="F17" i="12"/>
  <c r="F18" i="12"/>
  <c r="F6" i="12"/>
  <c r="F4" i="12"/>
  <c r="F5" i="12"/>
  <c r="D20" i="12"/>
  <c r="D20" i="1"/>
  <c r="E20" i="1" s="1"/>
  <c r="D21" i="1"/>
  <c r="E21" i="1" s="1"/>
  <c r="D22" i="1"/>
  <c r="E22" i="1" s="1"/>
  <c r="D23" i="1"/>
  <c r="E23" i="1" s="1"/>
  <c r="D24" i="1"/>
  <c r="E24" i="1" s="1"/>
  <c r="D19" i="1"/>
  <c r="E19" i="1" s="1"/>
  <c r="P19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4" i="1"/>
  <c r="E4" i="1" s="1"/>
  <c r="E29" i="1"/>
  <c r="K23" i="1"/>
  <c r="L23" i="1" s="1"/>
  <c r="J23" i="1"/>
  <c r="G23" i="1"/>
  <c r="K22" i="1"/>
  <c r="L22" i="1" s="1"/>
  <c r="J22" i="1"/>
  <c r="G22" i="1"/>
  <c r="J5" i="1"/>
  <c r="J6" i="1"/>
  <c r="J7" i="1"/>
  <c r="J8" i="1"/>
  <c r="J9" i="1"/>
  <c r="J10" i="1"/>
  <c r="J11" i="1"/>
  <c r="J12" i="1"/>
  <c r="J4" i="1"/>
  <c r="J20" i="1"/>
  <c r="J21" i="1"/>
  <c r="J24" i="1"/>
  <c r="J19" i="1"/>
  <c r="J25" i="1" s="1"/>
  <c r="L5" i="1"/>
  <c r="K30" i="1"/>
  <c r="L30" i="1" s="1"/>
  <c r="K31" i="1"/>
  <c r="L31" i="1" s="1"/>
  <c r="K29" i="1"/>
  <c r="L29" i="1" s="1"/>
  <c r="K20" i="1"/>
  <c r="L20" i="1" s="1"/>
  <c r="K21" i="1"/>
  <c r="L21" i="1" s="1"/>
  <c r="K24" i="1"/>
  <c r="L24" i="1" s="1"/>
  <c r="K19" i="1"/>
  <c r="L19" i="1" s="1"/>
  <c r="K6" i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4" i="1"/>
  <c r="L4" i="1" s="1"/>
  <c r="E10" i="6"/>
  <c r="D43" i="8"/>
  <c r="B43" i="8"/>
  <c r="C43" i="8"/>
  <c r="E40" i="8"/>
  <c r="E39" i="8"/>
  <c r="E38" i="8"/>
  <c r="E37" i="8"/>
  <c r="E36" i="8"/>
  <c r="E35" i="8"/>
  <c r="E34" i="8"/>
  <c r="E33" i="8"/>
  <c r="E32" i="8"/>
  <c r="E30" i="8"/>
  <c r="E29" i="8"/>
  <c r="E28" i="8"/>
  <c r="D13" i="6"/>
  <c r="C13" i="6"/>
  <c r="E12" i="6"/>
  <c r="E11" i="6"/>
  <c r="E9" i="6"/>
  <c r="C20" i="12"/>
  <c r="B19" i="12"/>
  <c r="F19" i="12" s="1"/>
  <c r="E30" i="1"/>
  <c r="P30" i="1" s="1"/>
  <c r="Q30" i="1" s="1"/>
  <c r="G30" i="1"/>
  <c r="B20" i="10"/>
  <c r="B21" i="10"/>
  <c r="B26" i="10"/>
  <c r="B29" i="10"/>
  <c r="A29" i="10"/>
  <c r="B28" i="10"/>
  <c r="A28" i="10"/>
  <c r="G5" i="1"/>
  <c r="G9" i="1"/>
  <c r="G8" i="1"/>
  <c r="G7" i="1"/>
  <c r="B39" i="1"/>
  <c r="B40" i="1"/>
  <c r="C40" i="1" s="1"/>
  <c r="B19" i="10" s="1"/>
  <c r="B37" i="1"/>
  <c r="E41" i="1"/>
  <c r="E38" i="1"/>
  <c r="C6" i="6"/>
  <c r="C5" i="6"/>
  <c r="J13" i="1" l="1"/>
  <c r="M11" i="1"/>
  <c r="M12" i="1"/>
  <c r="K13" i="1"/>
  <c r="L6" i="1"/>
  <c r="M20" i="1"/>
  <c r="M21" i="1"/>
  <c r="M6" i="1"/>
  <c r="M10" i="1"/>
  <c r="M4" i="1"/>
  <c r="M22" i="1"/>
  <c r="P22" i="1"/>
  <c r="P23" i="1"/>
  <c r="M23" i="1"/>
  <c r="M5" i="1"/>
  <c r="Q5" i="1"/>
  <c r="M7" i="1"/>
  <c r="Q7" i="1"/>
  <c r="M8" i="1"/>
  <c r="Q8" i="1"/>
  <c r="M9" i="1"/>
  <c r="Q9" i="1"/>
  <c r="M24" i="1"/>
  <c r="E31" i="8"/>
  <c r="E43" i="8" s="1"/>
  <c r="B13" i="6"/>
  <c r="E13" i="6"/>
  <c r="M30" i="1"/>
  <c r="P5" i="1"/>
  <c r="R5" i="1" s="1"/>
  <c r="P9" i="1"/>
  <c r="R9" i="1" s="1"/>
  <c r="P8" i="1"/>
  <c r="R8" i="1" s="1"/>
  <c r="P7" i="1"/>
  <c r="R7" i="1" s="1"/>
  <c r="F17" i="8"/>
  <c r="F12" i="8"/>
  <c r="B14" i="10" s="1"/>
  <c r="F10" i="8"/>
  <c r="B4" i="10" s="1"/>
  <c r="B27" i="10" s="1"/>
  <c r="B30" i="10" s="1"/>
  <c r="F9" i="8"/>
  <c r="B10" i="10" s="1"/>
  <c r="G11" i="8"/>
  <c r="G7" i="8"/>
  <c r="G8" i="8"/>
  <c r="G12" i="8"/>
  <c r="B14" i="8"/>
  <c r="H19" i="8"/>
  <c r="H18" i="8"/>
  <c r="H12" i="8"/>
  <c r="I20" i="8"/>
  <c r="H16" i="8"/>
  <c r="H15" i="8"/>
  <c r="H13" i="8"/>
  <c r="G6" i="8"/>
  <c r="B2" i="8"/>
  <c r="L13" i="1" l="1"/>
  <c r="Q23" i="1"/>
  <c r="R23" i="1"/>
  <c r="R22" i="1"/>
  <c r="Q22" i="1"/>
  <c r="B21" i="13" a="1"/>
  <c r="B4" i="13" a="1"/>
  <c r="B17" i="10"/>
  <c r="B45" i="1"/>
  <c r="C45" i="1" s="1"/>
  <c r="G22" i="8"/>
  <c r="H22" i="8"/>
  <c r="F22" i="8"/>
  <c r="C1" i="13" l="1"/>
  <c r="B1" i="13"/>
  <c r="F1" i="13"/>
  <c r="E1" i="13"/>
  <c r="D1" i="13"/>
  <c r="B21" i="8"/>
  <c r="B22" i="8" s="1"/>
  <c r="B23" i="8" s="1"/>
  <c r="D22" i="8"/>
  <c r="F23" i="8" s="1"/>
  <c r="H25" i="1"/>
  <c r="H13" i="1"/>
  <c r="E20" i="9"/>
  <c r="E15" i="9"/>
  <c r="E9" i="9"/>
  <c r="B10" i="9"/>
  <c r="B16" i="9"/>
  <c r="C22" i="8"/>
  <c r="H5" i="4" l="1"/>
  <c r="H6" i="4"/>
  <c r="H7" i="4"/>
  <c r="G5" i="4"/>
  <c r="G6" i="4"/>
  <c r="G7" i="4"/>
  <c r="F5" i="4"/>
  <c r="F6" i="4"/>
  <c r="F7" i="4"/>
  <c r="H4" i="4"/>
  <c r="G4" i="4"/>
  <c r="F4" i="4"/>
  <c r="E8" i="4"/>
  <c r="G31" i="1"/>
  <c r="G29" i="1"/>
  <c r="P29" i="1"/>
  <c r="R29" i="1" s="1"/>
  <c r="Q12" i="1"/>
  <c r="G10" i="1"/>
  <c r="Q10" i="1"/>
  <c r="B36" i="1"/>
  <c r="G6" i="1"/>
  <c r="G11" i="1"/>
  <c r="G20" i="1"/>
  <c r="G21" i="1"/>
  <c r="G24" i="1"/>
  <c r="Q11" i="1"/>
  <c r="P6" i="1"/>
  <c r="R6" i="1" s="1"/>
  <c r="G19" i="1"/>
  <c r="P20" i="1" l="1"/>
  <c r="M25" i="1"/>
  <c r="P21" i="1"/>
  <c r="P24" i="1"/>
  <c r="I5" i="4"/>
  <c r="C36" i="1"/>
  <c r="B18" i="10" s="1"/>
  <c r="F8" i="4"/>
  <c r="I4" i="4"/>
  <c r="H8" i="4"/>
  <c r="G8" i="4"/>
  <c r="I7" i="4"/>
  <c r="I6" i="4"/>
  <c r="O32" i="1"/>
  <c r="Q29" i="1"/>
  <c r="O25" i="1"/>
  <c r="P12" i="1"/>
  <c r="R12" i="1" s="1"/>
  <c r="P11" i="1"/>
  <c r="R11" i="1" s="1"/>
  <c r="P10" i="1"/>
  <c r="R10" i="1" s="1"/>
  <c r="Q6" i="1"/>
  <c r="P4" i="1"/>
  <c r="R4" i="1" s="1"/>
  <c r="Q4" i="1"/>
  <c r="R24" i="1" l="1"/>
  <c r="Q24" i="1"/>
  <c r="R21" i="1"/>
  <c r="Q21" i="1"/>
  <c r="R19" i="1"/>
  <c r="Q19" i="1"/>
  <c r="Q20" i="1"/>
  <c r="R20" i="1"/>
  <c r="I8" i="4"/>
  <c r="G4" i="1" l="1"/>
  <c r="G12" i="1" l="1"/>
  <c r="M13" i="1" l="1"/>
  <c r="B53" i="1"/>
  <c r="B52" i="1"/>
  <c r="G13" i="1"/>
  <c r="B44" i="1"/>
  <c r="C44" i="1" s="1"/>
  <c r="B12" i="10" l="1"/>
  <c r="B22" i="10" s="1"/>
  <c r="D28" i="10" s="1"/>
  <c r="B43" i="1"/>
  <c r="B54" i="1"/>
  <c r="O13" i="1"/>
  <c r="R25" i="1"/>
  <c r="C52" i="1"/>
  <c r="C54" i="1" s="1"/>
  <c r="G25" i="1"/>
  <c r="C43" i="1" l="1"/>
  <c r="B47" i="1"/>
  <c r="E54" i="1"/>
  <c r="R13" i="1"/>
  <c r="P31" i="1" l="1"/>
  <c r="R31" i="1" s="1"/>
  <c r="R32" i="1" s="1"/>
  <c r="R37" i="1" s="1"/>
  <c r="C31" i="1"/>
  <c r="M31" i="1"/>
  <c r="M32" i="1" s="1"/>
  <c r="M36" i="1" l="1"/>
  <c r="M34" i="1"/>
  <c r="Q31" i="1"/>
  <c r="M37" i="1" l="1"/>
  <c r="N37" i="1" s="1"/>
  <c r="N40" i="1"/>
  <c r="B20" i="12" l="1"/>
  <c r="F20" i="12"/>
  <c r="B27" i="13" s="1" a="1"/>
  <c r="F2" i="13" l="1"/>
  <c r="C2" i="13"/>
  <c r="D2" i="13"/>
  <c r="E2" i="13"/>
  <c r="G2" i="1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Talento Humano</author>
  </authors>
  <commentList>
    <comment ref="M36" authorId="0" shapeId="0" xr:uid="{99671B6E-35BF-4570-B7F2-8A07C56816CD}">
      <text>
        <r>
          <rPr>
            <b/>
            <sz val="9"/>
            <color indexed="81"/>
            <rFont val="Tahoma"/>
            <family val="2"/>
          </rPr>
          <t>Talento Humano:</t>
        </r>
        <r>
          <rPr>
            <sz val="9"/>
            <color indexed="81"/>
            <rFont val="Tahoma"/>
            <family val="2"/>
          </rPr>
          <t xml:space="preserve">
se encuentra cocacola, postobon, iglu, hielo y gastos(chalecos, cajas,pago personal, almuerzos, datafonos)
</t>
        </r>
      </text>
    </comment>
    <comment ref="B37" authorId="0" shapeId="0" xr:uid="{0D427C17-D342-40CF-BD59-7BE421136E70}">
      <text>
        <r>
          <rPr>
            <b/>
            <sz val="9"/>
            <color indexed="81"/>
            <rFont val="Tahoma"/>
            <family val="2"/>
          </rPr>
          <t>Talento Humano:</t>
        </r>
        <r>
          <rPr>
            <sz val="9"/>
            <color indexed="81"/>
            <rFont val="Tahoma"/>
            <family val="2"/>
          </rPr>
          <t xml:space="preserve">
5 cajeros+2 bodega+asistente+lorcy</t>
        </r>
      </text>
    </comment>
    <comment ref="B38" authorId="0" shapeId="0" xr:uid="{D3087804-F34B-4A41-9BDE-80AF7029D961}">
      <text>
        <r>
          <rPr>
            <b/>
            <sz val="9"/>
            <color indexed="81"/>
            <rFont val="Tahoma"/>
            <family val="2"/>
          </rPr>
          <t>Talento Humano:</t>
        </r>
        <r>
          <rPr>
            <sz val="9"/>
            <color indexed="81"/>
            <rFont val="Tahoma"/>
            <family val="2"/>
          </rPr>
          <t xml:space="preserve">
Revisar el valor unitario 1 caja es de mordisko</t>
        </r>
      </text>
    </comment>
    <comment ref="B40" authorId="0" shapeId="0" xr:uid="{E2A42693-97BC-47BD-9213-C3F8913EFC10}">
      <text>
        <r>
          <rPr>
            <b/>
            <sz val="9"/>
            <color indexed="81"/>
            <rFont val="Tahoma"/>
            <family val="2"/>
          </rPr>
          <t>Talento Humano:</t>
        </r>
        <r>
          <rPr>
            <sz val="9"/>
            <color indexed="81"/>
            <rFont val="Tahoma"/>
            <family val="2"/>
          </rPr>
          <t xml:space="preserve">
5 cajeros+2 bodega+asistente+lorcy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tc={9BAC534E-405B-41C7-B89E-676027C8DDB7}</author>
  </authors>
  <commentList>
    <comment ref="A20" authorId="0" shapeId="0" xr:uid="{9BAC534E-405B-41C7-B89E-676027C8DDB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le debe a Lorcy $174.000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<sst xmlns="http://schemas.openxmlformats.org/spreadsheetml/2006/main" count="306" uniqueCount="207">
  <si>
    <t>POSTOBON</t>
  </si>
  <si>
    <t>PRODUCTO</t>
  </si>
  <si>
    <t>CAJA POR</t>
  </si>
  <si>
    <t>PRECIO CAJA</t>
  </si>
  <si>
    <t>PRECIO UNITARIO</t>
  </si>
  <si>
    <t>VALOR TOTAL</t>
  </si>
  <si>
    <t>SQUASH Frutas Tropical 500ml</t>
  </si>
  <si>
    <t>Jugo Hit 500ml</t>
  </si>
  <si>
    <t>Gaseosa 400ml</t>
  </si>
  <si>
    <t>Cerveza Andina Lata 269ml</t>
  </si>
  <si>
    <t>COCA COLA</t>
  </si>
  <si>
    <t>Coca Cola Original 400 ml</t>
  </si>
  <si>
    <t>Coca Cola Zero 400 ml</t>
  </si>
  <si>
    <t>Kola Roman 400ml</t>
  </si>
  <si>
    <t>Agua Saborizada Manzana 600ml</t>
  </si>
  <si>
    <t>PEDIDO CAJAS</t>
  </si>
  <si>
    <t>PRECIO DE VENTA</t>
  </si>
  <si>
    <t>UTILIDAD</t>
  </si>
  <si>
    <t>% UTILIDAD</t>
  </si>
  <si>
    <t>COSTO UNITARIO</t>
  </si>
  <si>
    <t>COSTO CAJA</t>
  </si>
  <si>
    <t>PEDIDO 2025</t>
  </si>
  <si>
    <t>PEDIDO 2026</t>
  </si>
  <si>
    <t>UTILIDAD PROYECTADA</t>
  </si>
  <si>
    <t>Inversión</t>
  </si>
  <si>
    <t>Utilidad</t>
  </si>
  <si>
    <t>Inversión x socio</t>
  </si>
  <si>
    <t>Utilidad x socio</t>
  </si>
  <si>
    <t>PEDIDO EN CAJAS</t>
  </si>
  <si>
    <t>PEDIDO FINAL POR TIPO DE PRODUCTO</t>
  </si>
  <si>
    <t>Bebidas NO Alcocholicas</t>
  </si>
  <si>
    <t>Bebidas Alcoholicas</t>
  </si>
  <si>
    <t>TOTAL PRODUCTOS</t>
  </si>
  <si>
    <t>VALOR COMPRA</t>
  </si>
  <si>
    <t>VENTA X ITEM</t>
  </si>
  <si>
    <t>Cerveza Heineken lata 310ml</t>
  </si>
  <si>
    <t>OASIS</t>
  </si>
  <si>
    <t>Hielo + Transporte</t>
  </si>
  <si>
    <t>Speedmax 250ml</t>
  </si>
  <si>
    <t>Cajas registradoras</t>
  </si>
  <si>
    <t>Agua 500ml Reserva</t>
  </si>
  <si>
    <t>Agua 500ml Reserva con GAS</t>
  </si>
  <si>
    <t>Hidralyte</t>
  </si>
  <si>
    <t>Anticipo 50% x socio</t>
  </si>
  <si>
    <t>DECORFIESTAS</t>
  </si>
  <si>
    <t>Sillas rimax</t>
  </si>
  <si>
    <t>CANTIDAD</t>
  </si>
  <si>
    <t>VALOR VENTA</t>
  </si>
  <si>
    <t>TOTALCOMPRA</t>
  </si>
  <si>
    <t>TOTAL VENTA</t>
  </si>
  <si>
    <t>Tablones Grandes</t>
  </si>
  <si>
    <t>Manteles rectangulares blancos</t>
  </si>
  <si>
    <t>Transporte</t>
  </si>
  <si>
    <t>Chalecos</t>
  </si>
  <si>
    <t>COSTOS</t>
  </si>
  <si>
    <t>RV</t>
  </si>
  <si>
    <t>Omar</t>
  </si>
  <si>
    <t>Aba Carpas</t>
  </si>
  <si>
    <t>Inflables</t>
  </si>
  <si>
    <t>TV+PS5</t>
  </si>
  <si>
    <t>Ricardo</t>
  </si>
  <si>
    <t>Reflectores</t>
  </si>
  <si>
    <t>Alimentación</t>
  </si>
  <si>
    <t>Radio de comunicación</t>
  </si>
  <si>
    <t>Imprevistos</t>
  </si>
  <si>
    <t>% Utilidad</t>
  </si>
  <si>
    <t>Luz de feria</t>
  </si>
  <si>
    <t>COMPARATIVO BEBIDAS 2026-1 VS 2026-2</t>
  </si>
  <si>
    <t>2026-1</t>
  </si>
  <si>
    <t>Red Bull Lata 250ml</t>
  </si>
  <si>
    <t>Cerveza Andina Light Lata 269ml</t>
  </si>
  <si>
    <t>Unidades</t>
  </si>
  <si>
    <t>Agua Brisa 600ml</t>
  </si>
  <si>
    <t>Jugos Hit</t>
  </si>
  <si>
    <t>EL REY DE LAS AGUAS</t>
  </si>
  <si>
    <t>2026-2</t>
  </si>
  <si>
    <t>Cerveza Heineken lata 269ml</t>
  </si>
  <si>
    <r>
      <t>Cerveza Heineken lata</t>
    </r>
    <r>
      <rPr>
        <sz val="11"/>
        <color rgb="FFFF0000"/>
        <rFont val="Aptos Narrow"/>
        <family val="2"/>
        <scheme val="minor"/>
      </rPr>
      <t xml:space="preserve"> 269ml</t>
    </r>
  </si>
  <si>
    <t>COMPRAS BEBIDAS 2026-2</t>
  </si>
  <si>
    <t>PEDIDO UNDS 2026-2</t>
  </si>
  <si>
    <t>PEDIDO UNDS  2026-2</t>
  </si>
  <si>
    <t>ANTICIPO 1</t>
  </si>
  <si>
    <t>ANTICIPO 2</t>
  </si>
  <si>
    <t>Camiseta polo Blanca y camisa azul</t>
  </si>
  <si>
    <t>SALDO PENDIENTE</t>
  </si>
  <si>
    <t>PENDIENTE POR PAGAR</t>
  </si>
  <si>
    <t>PAGOS A FRANCISCO</t>
  </si>
  <si>
    <t>PAGOS  A LORCY</t>
  </si>
  <si>
    <t>Clavijas de refelctores</t>
  </si>
  <si>
    <t>40 mts cable y clavilas</t>
  </si>
  <si>
    <t>ANTICIPOS ANTES DEL EVENTO</t>
  </si>
  <si>
    <t>ANTICIPO ANTES DEL EVENTO</t>
  </si>
  <si>
    <t>DEBE A FRANCISCO</t>
  </si>
  <si>
    <t>VALOR</t>
  </si>
  <si>
    <t>Pago personal</t>
  </si>
  <si>
    <t>Cotizacion adicional</t>
  </si>
  <si>
    <t>Mobiliario</t>
  </si>
  <si>
    <t>Bingo electronico</t>
  </si>
  <si>
    <t>Anticipo</t>
  </si>
  <si>
    <t>Artisita fabio herrera</t>
  </si>
  <si>
    <t>MOBILIARIO</t>
  </si>
  <si>
    <t>PLAY STATION</t>
  </si>
  <si>
    <t>CUENTA</t>
  </si>
  <si>
    <t>TIPO</t>
  </si>
  <si>
    <t>BANCO</t>
  </si>
  <si>
    <t>BANCOLOMBIA</t>
  </si>
  <si>
    <t>AHORROS</t>
  </si>
  <si>
    <t>O989951961</t>
  </si>
  <si>
    <t>TITULAR</t>
  </si>
  <si>
    <t>ORLANDO MENDOZA</t>
  </si>
  <si>
    <t>NERVA ESTHER DIAZ</t>
  </si>
  <si>
    <t>EFECTIVO</t>
  </si>
  <si>
    <t>Datafonos</t>
  </si>
  <si>
    <t>Almuerzos</t>
  </si>
  <si>
    <t>RELACION GASTOS</t>
  </si>
  <si>
    <t>Menudo para entrega de cajas</t>
  </si>
  <si>
    <t>Productos postobon</t>
  </si>
  <si>
    <t>Gaseosa manzana postobon 400ml</t>
  </si>
  <si>
    <t>Colombiana nacional 400 ml</t>
  </si>
  <si>
    <t>Uva postobon 400 ml</t>
  </si>
  <si>
    <t>Naranja postobon 400 ml</t>
  </si>
  <si>
    <t>Jugo Hit 500ml (Naranja piña )</t>
  </si>
  <si>
    <t>Cocacola</t>
  </si>
  <si>
    <t>Agua iglu</t>
  </si>
  <si>
    <t>TOTALES</t>
  </si>
  <si>
    <t xml:space="preserve">FLUJO DE CAJA </t>
  </si>
  <si>
    <t>PAGOS REALIZADOS</t>
  </si>
  <si>
    <t>COTIZACION CLIENTE</t>
  </si>
  <si>
    <t>SALDO EN CAJA</t>
  </si>
  <si>
    <t>INFLABLES</t>
  </si>
  <si>
    <t>TOTAL</t>
  </si>
  <si>
    <t>CHALECOS</t>
  </si>
  <si>
    <t>GORRAS</t>
  </si>
  <si>
    <t>IMPREVISTOS PRODUCCION</t>
  </si>
  <si>
    <t>HIELO + TRANSPORTE</t>
  </si>
  <si>
    <t>MENUDO DE CAJAS BEBIDAS</t>
  </si>
  <si>
    <t>CONCEPTO</t>
  </si>
  <si>
    <t>ALMUERZOS PERSONAL BEBIDAS</t>
  </si>
  <si>
    <t>ALMUERZOS PERSONAL PRODUCCION</t>
  </si>
  <si>
    <t>RESUMEN RELACION DE PAGOS ANTES DEL EVENTO</t>
  </si>
  <si>
    <t xml:space="preserve">DIDIER </t>
  </si>
  <si>
    <t>PATRICIA</t>
  </si>
  <si>
    <t>OROZCO</t>
  </si>
  <si>
    <t>DE AVILA</t>
  </si>
  <si>
    <t>KELLY</t>
  </si>
  <si>
    <t>JOHANA</t>
  </si>
  <si>
    <t>CAMACHO</t>
  </si>
  <si>
    <t>CONTRERAS</t>
  </si>
  <si>
    <t>MARTHA</t>
  </si>
  <si>
    <t>VERONICA</t>
  </si>
  <si>
    <t>ZAPATEIRO</t>
  </si>
  <si>
    <t>ESQUIVIA</t>
  </si>
  <si>
    <t>FABIAN</t>
  </si>
  <si>
    <t>CAMILO</t>
  </si>
  <si>
    <t>INFANTE</t>
  </si>
  <si>
    <t>RODRIGUEZ</t>
  </si>
  <si>
    <t>SIXTA</t>
  </si>
  <si>
    <t>MILENA</t>
  </si>
  <si>
    <t>GARY</t>
  </si>
  <si>
    <t>HURTADO</t>
  </si>
  <si>
    <t>BINGO ELECTRONICO</t>
  </si>
  <si>
    <t>CONSIGNACION</t>
  </si>
  <si>
    <t>PRESTAMO FRANCISCO</t>
  </si>
  <si>
    <t>COMPRA RADIOS</t>
  </si>
  <si>
    <t>Pacas de agua en bolsa</t>
  </si>
  <si>
    <t>CAMISETAS F3R</t>
  </si>
  <si>
    <t>Pagado Corte 30 Sept</t>
  </si>
  <si>
    <t>IMPREVISTOS</t>
  </si>
  <si>
    <t>Pte pagar DESPUES del evento</t>
  </si>
  <si>
    <t>DECORFIESTA</t>
  </si>
  <si>
    <t>ARTISTA FABIO HERRERA</t>
  </si>
  <si>
    <t>RV PRODUCCION</t>
  </si>
  <si>
    <t>ABA CARPAS</t>
  </si>
  <si>
    <t>FOTOGRAFIAS RICARDO</t>
  </si>
  <si>
    <t>REFLECTORES</t>
  </si>
  <si>
    <t>CLAVIJAS REFLECTORES</t>
  </si>
  <si>
    <t>40 MTS DE CABLE 2X16</t>
  </si>
  <si>
    <t>CAMISETA POLO BLANCA Y CAMISA AZUL</t>
  </si>
  <si>
    <t>ALIMENTACIÓN</t>
  </si>
  <si>
    <t>RADIOS DE COMUNICACIÓN</t>
  </si>
  <si>
    <t>LUZ DE FERIA</t>
  </si>
  <si>
    <t>CAJAS REGISTRADORAS</t>
  </si>
  <si>
    <t>TOTAL PRODUCCIÓN</t>
  </si>
  <si>
    <t>GASTOS TOTALES</t>
  </si>
  <si>
    <t>COMBUSTIBLE 07 SEPT</t>
  </si>
  <si>
    <t>COMBUSTIBLE FR 30 SEPT</t>
  </si>
  <si>
    <t>DATAFONOS BOLD</t>
  </si>
  <si>
    <t>HIDRALITE ARA</t>
  </si>
  <si>
    <t>GASTOS VS PAGOS</t>
  </si>
  <si>
    <t>OK</t>
  </si>
  <si>
    <t>VALIDADOR</t>
  </si>
  <si>
    <t>Pagado día del evento</t>
  </si>
  <si>
    <t>JAVIER SILLAS</t>
  </si>
  <si>
    <t>Squash (frutas tropicales )</t>
  </si>
  <si>
    <t>DEVOLUCIONES X CAJAS</t>
  </si>
  <si>
    <t>VENTA FINAL X CAJA</t>
  </si>
  <si>
    <t>DEVOLUCIONES X CAJA</t>
  </si>
  <si>
    <t>VENTA FINAL X UND</t>
  </si>
  <si>
    <t>DEVOLUCIONES EN DINERO</t>
  </si>
  <si>
    <t>Powerade Azul</t>
  </si>
  <si>
    <t>Powerade Rojo</t>
  </si>
  <si>
    <t>COSTO CON IVA</t>
  </si>
  <si>
    <t>Devolución $771000</t>
  </si>
  <si>
    <t>OMAR CHAVEZ + Franklin</t>
  </si>
  <si>
    <t>Pagado</t>
  </si>
  <si>
    <t>VENTA TOTAL</t>
  </si>
  <si>
    <t>COSTO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</si>
</sst>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[$$-240A]\ * #,##0_-;\-[$$-240A]\ * #,##0_-;_-[$$-240A]\ * &quot;-&quot;_-;_-@_-"/>
    <numFmt numFmtId="166" formatCode="[$$-240A]\ #,##0"/>
    <numFmt numFmtId="167" formatCode="_-[$$-240A]\ * #,##0_-;\-[$$-240A]\ * #,##0_-;_-[$$-240A]\ * &quot;-&quot;??_-;_-@_-"/>
    <numFmt numFmtId="168" formatCode="[$$-240A]\ #,##0;\-[$$-240A]\ 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Verdana"/>
      <family val="2"/>
    </font>
    <font>
      <b/>
      <sz val="11"/>
      <color theme="0"/>
      <name val="Aptos Narrow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rgb="FFFF0000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Aptos Narrow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269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4" fontId="0" fillId="0" borderId="0" xfId="1" applyNumberFormat="1" applyFont="1"/>
    <xf numFmtId="164" fontId="2" fillId="0" borderId="0" xfId="1" applyNumberFormat="1" applyFont="1"/>
    <xf numFmtId="0" fontId="0" fillId="0" borderId="8" xfId="0" applyBorder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164" fontId="0" fillId="0" borderId="0" xfId="1" applyNumberFormat="1" applyFont="1" applyBorder="1"/>
    <xf numFmtId="164" fontId="2" fillId="0" borderId="0" xfId="0" applyNumberFormat="1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0" fillId="0" borderId="10" xfId="1" applyNumberFormat="1" applyFon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0" xfId="1" applyNumberFormat="1" applyFont="1" applyBorder="1"/>
    <xf numFmtId="9" fontId="0" fillId="0" borderId="10" xfId="2" applyFont="1" applyBorder="1"/>
    <xf numFmtId="0" fontId="0" fillId="0" borderId="14" xfId="0" applyBorder="1" applyAlignment="1">
      <alignment horizontal="center" vertical="center"/>
    </xf>
    <xf numFmtId="164" fontId="0" fillId="0" borderId="15" xfId="0" applyNumberFormat="1" applyBorder="1"/>
    <xf numFmtId="164" fontId="0" fillId="0" borderId="19" xfId="0" applyNumberFormat="1" applyBorder="1" applyAlignment="1">
      <alignment horizontal="center" vertical="center"/>
    </xf>
    <xf numFmtId="164" fontId="0" fillId="0" borderId="19" xfId="1" applyNumberFormat="1" applyFont="1" applyBorder="1"/>
    <xf numFmtId="9" fontId="0" fillId="0" borderId="19" xfId="2" applyFont="1" applyBorder="1"/>
    <xf numFmtId="164" fontId="2" fillId="0" borderId="11" xfId="0" applyNumberFormat="1" applyFont="1" applyBorder="1" applyAlignment="1">
      <alignment horizontal="center" vertical="center"/>
    </xf>
    <xf numFmtId="164" fontId="0" fillId="0" borderId="12" xfId="1" applyNumberFormat="1" applyFont="1" applyBorder="1"/>
    <xf numFmtId="0" fontId="0" fillId="0" borderId="12" xfId="0" applyBorder="1"/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164" fontId="3" fillId="3" borderId="12" xfId="1" applyNumberFormat="1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164" fontId="3" fillId="2" borderId="16" xfId="1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164" fontId="2" fillId="0" borderId="13" xfId="0" applyNumberFormat="1" applyFont="1" applyBorder="1"/>
    <xf numFmtId="164" fontId="2" fillId="0" borderId="9" xfId="0" applyNumberFormat="1" applyFont="1" applyBorder="1"/>
    <xf numFmtId="0" fontId="3" fillId="2" borderId="16" xfId="1" applyNumberFormat="1" applyFont="1" applyFill="1" applyBorder="1" applyAlignment="1">
      <alignment horizontal="center" vertical="center"/>
    </xf>
    <xf numFmtId="0" fontId="0" fillId="0" borderId="10" xfId="1" applyNumberFormat="1" applyFont="1" applyBorder="1" applyAlignment="1">
      <alignment horizontal="center" vertical="center"/>
    </xf>
    <xf numFmtId="0" fontId="0" fillId="0" borderId="0" xfId="1" applyNumberFormat="1" applyFont="1" applyBorder="1" applyAlignment="1">
      <alignment horizontal="center" vertical="center"/>
    </xf>
    <xf numFmtId="0" fontId="3" fillId="3" borderId="12" xfId="1" applyNumberFormat="1" applyFont="1" applyFill="1" applyBorder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  <xf numFmtId="164" fontId="3" fillId="3" borderId="13" xfId="0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4" xfId="0" applyNumberFormat="1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164" fontId="0" fillId="0" borderId="13" xfId="1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4" fontId="0" fillId="0" borderId="19" xfId="1" applyNumberFormat="1" applyFont="1" applyBorder="1" applyAlignment="1">
      <alignment horizontal="center" vertical="center"/>
    </xf>
    <xf numFmtId="164" fontId="0" fillId="0" borderId="23" xfId="1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1" applyNumberFormat="1" applyFont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164" fontId="2" fillId="0" borderId="0" xfId="1" applyNumberFormat="1" applyFont="1" applyBorder="1"/>
    <xf numFmtId="164" fontId="0" fillId="0" borderId="0" xfId="0" applyNumberFormat="1"/>
    <xf numFmtId="0" fontId="0" fillId="4" borderId="14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5" xfId="1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5" borderId="10" xfId="0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0" fillId="0" borderId="26" xfId="1" applyNumberFormat="1" applyFont="1" applyBorder="1" applyAlignment="1">
      <alignment horizontal="center" vertical="center"/>
    </xf>
    <xf numFmtId="164" fontId="0" fillId="0" borderId="10" xfId="1" applyNumberFormat="1" applyFont="1" applyFill="1" applyBorder="1" applyAlignment="1">
      <alignment horizontal="center" vertical="center"/>
    </xf>
    <xf numFmtId="0" fontId="0" fillId="0" borderId="10" xfId="1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4" fontId="2" fillId="0" borderId="6" xfId="0" applyNumberFormat="1" applyFont="1" applyBorder="1" applyAlignment="1">
      <alignment horizontal="center" vertical="center"/>
    </xf>
    <xf numFmtId="164" fontId="0" fillId="0" borderId="6" xfId="1" applyNumberFormat="1" applyFont="1" applyBorder="1"/>
    <xf numFmtId="0" fontId="0" fillId="0" borderId="6" xfId="0" applyBorder="1"/>
    <xf numFmtId="164" fontId="2" fillId="0" borderId="7" xfId="0" applyNumberFormat="1" applyFont="1" applyBorder="1"/>
    <xf numFmtId="0" fontId="2" fillId="6" borderId="1" xfId="0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20" xfId="1" applyNumberFormat="1" applyFont="1" applyFill="1" applyBorder="1"/>
    <xf numFmtId="9" fontId="2" fillId="6" borderId="1" xfId="2" applyFont="1" applyFill="1" applyBorder="1"/>
    <xf numFmtId="164" fontId="2" fillId="6" borderId="4" xfId="0" applyNumberFormat="1" applyFont="1" applyFill="1" applyBorder="1"/>
    <xf numFmtId="0" fontId="3" fillId="8" borderId="1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164" fontId="3" fillId="8" borderId="12" xfId="1" applyNumberFormat="1" applyFont="1" applyFill="1" applyBorder="1" applyAlignment="1">
      <alignment horizontal="center" vertical="center"/>
    </xf>
    <xf numFmtId="0" fontId="3" fillId="8" borderId="12" xfId="1" applyNumberFormat="1" applyFont="1" applyFill="1" applyBorder="1" applyAlignment="1">
      <alignment horizontal="center" vertical="center"/>
    </xf>
    <xf numFmtId="164" fontId="3" fillId="8" borderId="13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64" fontId="0" fillId="0" borderId="3" xfId="1" applyNumberFormat="1" applyFont="1" applyBorder="1"/>
    <xf numFmtId="0" fontId="0" fillId="0" borderId="3" xfId="0" applyBorder="1"/>
    <xf numFmtId="0" fontId="3" fillId="2" borderId="28" xfId="0" applyFont="1" applyFill="1" applyBorder="1" applyAlignment="1">
      <alignment horizontal="center" vertical="center"/>
    </xf>
    <xf numFmtId="164" fontId="0" fillId="0" borderId="29" xfId="1" applyNumberFormat="1" applyFont="1" applyFill="1" applyBorder="1" applyAlignment="1">
      <alignment horizontal="center" vertical="center"/>
    </xf>
    <xf numFmtId="44" fontId="0" fillId="0" borderId="15" xfId="1" applyFont="1" applyFill="1" applyBorder="1"/>
    <xf numFmtId="164" fontId="0" fillId="0" borderId="19" xfId="1" applyNumberFormat="1" applyFont="1" applyFill="1" applyBorder="1" applyAlignment="1">
      <alignment horizontal="center" vertical="center"/>
    </xf>
    <xf numFmtId="164" fontId="0" fillId="0" borderId="30" xfId="1" applyNumberFormat="1" applyFont="1" applyFill="1" applyBorder="1" applyAlignment="1">
      <alignment horizontal="center" vertical="center"/>
    </xf>
    <xf numFmtId="44" fontId="0" fillId="0" borderId="23" xfId="1" applyFont="1" applyFill="1" applyBorder="1"/>
    <xf numFmtId="164" fontId="0" fillId="0" borderId="2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0" fontId="6" fillId="0" borderId="0" xfId="3"/>
    <xf numFmtId="0" fontId="2" fillId="0" borderId="0" xfId="0" applyFont="1" applyAlignment="1">
      <alignment horizontal="center"/>
    </xf>
    <xf numFmtId="0" fontId="0" fillId="9" borderId="14" xfId="0" applyFill="1" applyBorder="1" applyAlignment="1">
      <alignment horizontal="left" vertical="center"/>
    </xf>
    <xf numFmtId="0" fontId="0" fillId="9" borderId="10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10" borderId="14" xfId="0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164" fontId="0" fillId="11" borderId="10" xfId="1" applyNumberFormat="1" applyFont="1" applyFill="1" applyBorder="1" applyAlignment="1">
      <alignment horizontal="center" vertical="center"/>
    </xf>
    <xf numFmtId="0" fontId="0" fillId="11" borderId="10" xfId="1" applyNumberFormat="1" applyFont="1" applyFill="1" applyBorder="1" applyAlignment="1">
      <alignment horizontal="center" vertical="center"/>
    </xf>
    <xf numFmtId="0" fontId="8" fillId="0" borderId="0" xfId="3" applyFont="1"/>
    <xf numFmtId="0" fontId="7" fillId="0" borderId="0" xfId="3" applyFont="1"/>
    <xf numFmtId="165" fontId="7" fillId="0" borderId="0" xfId="3" applyNumberFormat="1" applyFont="1"/>
    <xf numFmtId="16" fontId="7" fillId="0" borderId="0" xfId="3" applyNumberFormat="1" applyFont="1" applyAlignment="1">
      <alignment horizontal="left"/>
    </xf>
    <xf numFmtId="165" fontId="8" fillId="0" borderId="0" xfId="3" applyNumberFormat="1" applyFont="1"/>
    <xf numFmtId="0" fontId="11" fillId="0" borderId="10" xfId="3" applyFont="1" applyBorder="1"/>
    <xf numFmtId="164" fontId="11" fillId="0" borderId="10" xfId="4" applyNumberFormat="1" applyFont="1" applyBorder="1" applyAlignment="1">
      <alignment horizontal="left" vertical="top"/>
    </xf>
    <xf numFmtId="164" fontId="12" fillId="0" borderId="10" xfId="1" applyNumberFormat="1" applyFont="1" applyBorder="1"/>
    <xf numFmtId="164" fontId="11" fillId="0" borderId="10" xfId="3" applyNumberFormat="1" applyFont="1" applyBorder="1"/>
    <xf numFmtId="164" fontId="11" fillId="0" borderId="10" xfId="1" applyNumberFormat="1" applyFont="1" applyBorder="1"/>
    <xf numFmtId="164" fontId="13" fillId="0" borderId="10" xfId="4" applyNumberFormat="1" applyFont="1" applyBorder="1" applyAlignment="1">
      <alignment horizontal="left" vertical="top"/>
    </xf>
    <xf numFmtId="164" fontId="14" fillId="0" borderId="10" xfId="4" applyNumberFormat="1" applyFont="1" applyBorder="1" applyAlignment="1">
      <alignment horizontal="left" vertical="top"/>
    </xf>
    <xf numFmtId="164" fontId="14" fillId="0" borderId="10" xfId="4" applyNumberFormat="1" applyFont="1" applyBorder="1" applyAlignment="1">
      <alignment horizontal="left" vertical="center"/>
    </xf>
    <xf numFmtId="164" fontId="14" fillId="0" borderId="10" xfId="4" applyNumberFormat="1" applyFont="1" applyBorder="1" applyAlignment="1">
      <alignment horizontal="left" vertical="top" wrapText="1"/>
    </xf>
    <xf numFmtId="3" fontId="11" fillId="0" borderId="10" xfId="3" applyNumberFormat="1" applyFont="1" applyBorder="1"/>
    <xf numFmtId="164" fontId="14" fillId="0" borderId="10" xfId="4" applyNumberFormat="1" applyFont="1" applyBorder="1" applyAlignment="1">
      <alignment horizontal="left" vertical="center" wrapText="1"/>
    </xf>
    <xf numFmtId="164" fontId="15" fillId="0" borderId="10" xfId="4" applyNumberFormat="1" applyFont="1" applyBorder="1" applyAlignment="1">
      <alignment horizontal="left" vertical="center" wrapText="1"/>
    </xf>
    <xf numFmtId="3" fontId="12" fillId="0" borderId="10" xfId="3" applyNumberFormat="1" applyFont="1" applyBorder="1"/>
    <xf numFmtId="164" fontId="12" fillId="0" borderId="10" xfId="3" applyNumberFormat="1" applyFont="1" applyBorder="1"/>
    <xf numFmtId="0" fontId="11" fillId="0" borderId="14" xfId="3" applyFont="1" applyBorder="1" applyAlignment="1">
      <alignment horizontal="left" vertical="top"/>
    </xf>
    <xf numFmtId="0" fontId="11" fillId="0" borderId="15" xfId="3" applyFont="1" applyBorder="1"/>
    <xf numFmtId="0" fontId="13" fillId="0" borderId="14" xfId="3" applyFont="1" applyBorder="1" applyAlignment="1">
      <alignment horizontal="left" vertical="top"/>
    </xf>
    <xf numFmtId="0" fontId="14" fillId="0" borderId="14" xfId="3" applyFont="1" applyBorder="1" applyAlignment="1">
      <alignment horizontal="left" vertical="top" wrapText="1"/>
    </xf>
    <xf numFmtId="164" fontId="11" fillId="0" borderId="15" xfId="3" applyNumberFormat="1" applyFont="1" applyBorder="1"/>
    <xf numFmtId="0" fontId="15" fillId="0" borderId="14" xfId="3" applyFont="1" applyBorder="1" applyAlignment="1">
      <alignment horizontal="left" vertical="center" wrapText="1"/>
    </xf>
    <xf numFmtId="0" fontId="15" fillId="0" borderId="33" xfId="3" applyFont="1" applyBorder="1" applyAlignment="1">
      <alignment horizontal="left" vertical="top" wrapText="1"/>
    </xf>
    <xf numFmtId="9" fontId="15" fillId="0" borderId="34" xfId="5" applyFont="1" applyBorder="1" applyAlignment="1">
      <alignment horizontal="right" vertical="top" wrapText="1"/>
    </xf>
    <xf numFmtId="164" fontId="12" fillId="0" borderId="34" xfId="4" applyNumberFormat="1" applyFont="1" applyBorder="1" applyAlignment="1">
      <alignment horizontal="left" vertical="top" wrapText="1"/>
    </xf>
    <xf numFmtId="0" fontId="11" fillId="0" borderId="34" xfId="3" applyFont="1" applyBorder="1"/>
    <xf numFmtId="164" fontId="10" fillId="12" borderId="34" xfId="3" applyNumberFormat="1" applyFont="1" applyFill="1" applyBorder="1"/>
    <xf numFmtId="164" fontId="11" fillId="0" borderId="34" xfId="3" applyNumberFormat="1" applyFont="1" applyBorder="1"/>
    <xf numFmtId="0" fontId="11" fillId="0" borderId="35" xfId="3" applyFont="1" applyBorder="1"/>
    <xf numFmtId="0" fontId="11" fillId="0" borderId="17" xfId="3" applyFont="1" applyBorder="1" applyAlignment="1">
      <alignment horizontal="left" vertical="top"/>
    </xf>
    <xf numFmtId="164" fontId="11" fillId="0" borderId="16" xfId="4" applyNumberFormat="1" applyFont="1" applyBorder="1" applyAlignment="1">
      <alignment horizontal="left" vertical="top"/>
    </xf>
    <xf numFmtId="164" fontId="12" fillId="0" borderId="16" xfId="1" applyNumberFormat="1" applyFont="1" applyBorder="1"/>
    <xf numFmtId="0" fontId="11" fillId="0" borderId="16" xfId="3" applyFont="1" applyBorder="1"/>
    <xf numFmtId="164" fontId="11" fillId="0" borderId="16" xfId="3" applyNumberFormat="1" applyFont="1" applyBorder="1"/>
    <xf numFmtId="0" fontId="11" fillId="0" borderId="18" xfId="3" applyFont="1" applyBorder="1"/>
    <xf numFmtId="0" fontId="10" fillId="0" borderId="24" xfId="3" applyFont="1" applyBorder="1" applyAlignment="1">
      <alignment vertical="top"/>
    </xf>
    <xf numFmtId="0" fontId="10" fillId="0" borderId="25" xfId="3" applyFont="1" applyBorder="1" applyAlignment="1">
      <alignment vertical="top"/>
    </xf>
    <xf numFmtId="164" fontId="10" fillId="0" borderId="25" xfId="4" applyNumberFormat="1" applyFont="1" applyBorder="1" applyAlignment="1">
      <alignment horizontal="left" vertical="center"/>
    </xf>
    <xf numFmtId="0" fontId="10" fillId="0" borderId="25" xfId="3" applyFont="1" applyBorder="1" applyAlignment="1">
      <alignment vertical="center"/>
    </xf>
    <xf numFmtId="0" fontId="11" fillId="0" borderId="25" xfId="3" applyFont="1" applyBorder="1"/>
    <xf numFmtId="0" fontId="10" fillId="0" borderId="25" xfId="3" applyFont="1" applyBorder="1" applyAlignment="1">
      <alignment wrapText="1"/>
    </xf>
    <xf numFmtId="0" fontId="10" fillId="0" borderId="26" xfId="3" applyFont="1" applyBorder="1" applyAlignment="1">
      <alignment wrapText="1"/>
    </xf>
    <xf numFmtId="0" fontId="2" fillId="12" borderId="0" xfId="0" applyFont="1" applyFill="1" applyAlignment="1">
      <alignment horizontal="center" vertical="center"/>
    </xf>
    <xf numFmtId="3" fontId="2" fillId="12" borderId="0" xfId="0" applyNumberFormat="1" applyFont="1" applyFill="1" applyAlignment="1">
      <alignment horizontal="center" vertical="center"/>
    </xf>
    <xf numFmtId="0" fontId="0" fillId="13" borderId="10" xfId="0" applyFill="1" applyBorder="1" applyAlignment="1">
      <alignment horizontal="left" vertical="center"/>
    </xf>
    <xf numFmtId="164" fontId="0" fillId="13" borderId="10" xfId="1" applyNumberFormat="1" applyFont="1" applyFill="1" applyBorder="1" applyAlignment="1">
      <alignment horizontal="center" vertical="center"/>
    </xf>
    <xf numFmtId="164" fontId="9" fillId="13" borderId="10" xfId="1" applyNumberFormat="1" applyFont="1" applyFill="1" applyBorder="1" applyAlignment="1">
      <alignment horizontal="center" vertical="center"/>
    </xf>
    <xf numFmtId="3" fontId="0" fillId="0" borderId="0" xfId="0" applyNumberFormat="1"/>
    <xf numFmtId="167" fontId="0" fillId="0" borderId="0" xfId="0" applyNumberFormat="1"/>
    <xf numFmtId="166" fontId="2" fillId="0" borderId="0" xfId="1" applyNumberFormat="1" applyFont="1"/>
    <xf numFmtId="168" fontId="9" fillId="0" borderId="0" xfId="0" applyNumberFormat="1" applyFont="1"/>
    <xf numFmtId="167" fontId="9" fillId="0" borderId="0" xfId="0" applyNumberFormat="1" applyFont="1"/>
    <xf numFmtId="165" fontId="0" fillId="0" borderId="0" xfId="0" applyNumberFormat="1"/>
    <xf numFmtId="0" fontId="0" fillId="0" borderId="10" xfId="0" applyBorder="1" applyAlignment="1">
      <alignment horizontal="left" vertical="center"/>
    </xf>
    <xf numFmtId="0" fontId="2" fillId="13" borderId="10" xfId="0" applyFont="1" applyFill="1" applyBorder="1" applyAlignment="1">
      <alignment horizontal="center" vertical="center"/>
    </xf>
    <xf numFmtId="164" fontId="2" fillId="13" borderId="10" xfId="1" applyNumberFormat="1" applyFont="1" applyFill="1" applyBorder="1" applyAlignment="1">
      <alignment horizontal="center" vertical="center" wrapText="1"/>
    </xf>
    <xf numFmtId="164" fontId="0" fillId="0" borderId="10" xfId="1" applyNumberFormat="1" applyFont="1" applyFill="1" applyBorder="1"/>
    <xf numFmtId="9" fontId="0" fillId="0" borderId="10" xfId="2" applyFont="1" applyFill="1" applyBorder="1"/>
    <xf numFmtId="164" fontId="2" fillId="0" borderId="10" xfId="1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167" fontId="11" fillId="0" borderId="10" xfId="3" applyNumberFormat="1" applyFont="1" applyBorder="1"/>
    <xf numFmtId="0" fontId="0" fillId="0" borderId="10" xfId="0" applyBorder="1"/>
    <xf numFmtId="165" fontId="0" fillId="0" borderId="10" xfId="0" applyNumberFormat="1" applyBorder="1"/>
    <xf numFmtId="0" fontId="2" fillId="0" borderId="10" xfId="0" applyFont="1" applyBorder="1"/>
    <xf numFmtId="0" fontId="2" fillId="14" borderId="0" xfId="0" applyFont="1" applyFill="1"/>
    <xf numFmtId="165" fontId="2" fillId="14" borderId="0" xfId="0" applyNumberFormat="1" applyFont="1" applyFill="1"/>
    <xf numFmtId="0" fontId="2" fillId="14" borderId="10" xfId="0" applyFont="1" applyFill="1" applyBorder="1"/>
    <xf numFmtId="165" fontId="2" fillId="14" borderId="10" xfId="0" applyNumberFormat="1" applyFont="1" applyFill="1" applyBorder="1"/>
    <xf numFmtId="165" fontId="18" fillId="0" borderId="0" xfId="0" applyNumberFormat="1" applyFont="1"/>
    <xf numFmtId="0" fontId="2" fillId="15" borderId="10" xfId="0" applyFont="1" applyFill="1" applyBorder="1"/>
    <xf numFmtId="165" fontId="2" fillId="15" borderId="10" xfId="0" applyNumberFormat="1" applyFont="1" applyFill="1" applyBorder="1"/>
    <xf numFmtId="164" fontId="2" fillId="15" borderId="10" xfId="1" applyNumberFormat="1" applyFont="1" applyFill="1" applyBorder="1"/>
    <xf numFmtId="0" fontId="0" fillId="15" borderId="10" xfId="0" applyFill="1" applyBorder="1"/>
    <xf numFmtId="165" fontId="0" fillId="15" borderId="10" xfId="0" applyNumberFormat="1" applyFill="1" applyBorder="1"/>
    <xf numFmtId="164" fontId="14" fillId="0" borderId="16" xfId="4" applyNumberFormat="1" applyFont="1" applyBorder="1" applyAlignment="1">
      <alignment horizontal="left" vertical="top"/>
    </xf>
    <xf numFmtId="164" fontId="1" fillId="0" borderId="10" xfId="1" applyNumberFormat="1" applyFont="1" applyFill="1" applyBorder="1"/>
    <xf numFmtId="0" fontId="2" fillId="0" borderId="10" xfId="0" applyFont="1" applyBorder="1" applyAlignment="1">
      <alignment horizontal="center" vertical="center"/>
    </xf>
    <xf numFmtId="165" fontId="2" fillId="0" borderId="10" xfId="0" applyNumberFormat="1" applyFont="1" applyBorder="1"/>
    <xf numFmtId="164" fontId="2" fillId="0" borderId="10" xfId="1" applyNumberFormat="1" applyFont="1" applyBorder="1"/>
    <xf numFmtId="0" fontId="0" fillId="0" borderId="10" xfId="0" applyBorder="1" applyAlignment="1">
      <alignment wrapText="1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164" fontId="0" fillId="0" borderId="9" xfId="1" applyNumberFormat="1" applyFont="1" applyBorder="1"/>
    <xf numFmtId="0" fontId="0" fillId="0" borderId="38" xfId="0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164" fontId="2" fillId="0" borderId="3" xfId="1" applyNumberFormat="1" applyFont="1" applyBorder="1"/>
    <xf numFmtId="164" fontId="2" fillId="0" borderId="4" xfId="1" applyNumberFormat="1" applyFont="1" applyBorder="1"/>
    <xf numFmtId="0" fontId="2" fillId="0" borderId="33" xfId="0" applyFont="1" applyBorder="1"/>
    <xf numFmtId="164" fontId="2" fillId="0" borderId="34" xfId="0" applyNumberFormat="1" applyFont="1" applyBorder="1"/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2" fillId="15" borderId="34" xfId="0" applyNumberFormat="1" applyFont="1" applyFill="1" applyBorder="1"/>
    <xf numFmtId="0" fontId="2" fillId="6" borderId="12" xfId="0" applyFont="1" applyFill="1" applyBorder="1" applyAlignment="1">
      <alignment horizontal="center" vertical="center"/>
    </xf>
    <xf numFmtId="164" fontId="2" fillId="6" borderId="34" xfId="0" applyNumberFormat="1" applyFont="1" applyFill="1" applyBorder="1"/>
    <xf numFmtId="164" fontId="5" fillId="5" borderId="35" xfId="0" applyNumberFormat="1" applyFont="1" applyFill="1" applyBorder="1"/>
    <xf numFmtId="0" fontId="2" fillId="15" borderId="12" xfId="0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center"/>
    </xf>
    <xf numFmtId="164" fontId="1" fillId="0" borderId="0" xfId="1" applyNumberFormat="1" applyFont="1" applyBorder="1"/>
    <xf numFmtId="164" fontId="1" fillId="0" borderId="9" xfId="1" applyNumberFormat="1" applyFont="1" applyBorder="1"/>
    <xf numFmtId="0" fontId="0" fillId="16" borderId="0" xfId="0" applyFill="1" applyAlignment="1">
      <alignment horizontal="center" vertical="center"/>
    </xf>
    <xf numFmtId="164" fontId="0" fillId="16" borderId="0" xfId="0" applyNumberFormat="1" applyFill="1"/>
    <xf numFmtId="0" fontId="0" fillId="17" borderId="0" xfId="0" applyFill="1" applyAlignment="1">
      <alignment horizontal="center" vertical="center"/>
    </xf>
    <xf numFmtId="164" fontId="0" fillId="11" borderId="0" xfId="1" applyNumberFormat="1" applyFont="1" applyFill="1" applyBorder="1"/>
    <xf numFmtId="164" fontId="0" fillId="0" borderId="0" xfId="1" applyNumberFormat="1" applyFont="1" applyFill="1" applyBorder="1"/>
    <xf numFmtId="164" fontId="2" fillId="11" borderId="3" xfId="1" applyNumberFormat="1" applyFont="1" applyFill="1" applyBorder="1"/>
    <xf numFmtId="164" fontId="1" fillId="11" borderId="0" xfId="1" applyNumberFormat="1" applyFont="1" applyFill="1" applyBorder="1"/>
    <xf numFmtId="164" fontId="0" fillId="11" borderId="0" xfId="1" applyNumberFormat="1" applyFont="1" applyFill="1"/>
    <xf numFmtId="164" fontId="0" fillId="11" borderId="10" xfId="1" applyNumberFormat="1" applyFont="1" applyFill="1" applyBorder="1"/>
    <xf numFmtId="164" fontId="2" fillId="11" borderId="10" xfId="1" applyNumberFormat="1" applyFont="1" applyFill="1" applyBorder="1"/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8" borderId="7" xfId="0" applyFont="1" applyFill="1" applyBorder="1" applyAlignment="1">
      <alignment horizontal="center" vertical="center"/>
    </xf>
    <xf numFmtId="164" fontId="2" fillId="6" borderId="27" xfId="1" applyNumberFormat="1" applyFont="1" applyFill="1" applyBorder="1" applyAlignment="1">
      <alignment horizontal="center"/>
    </xf>
    <xf numFmtId="164" fontId="2" fillId="6" borderId="21" xfId="1" applyNumberFormat="1" applyFont="1" applyFill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164" fontId="2" fillId="0" borderId="6" xfId="1" applyNumberFormat="1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2" fillId="0" borderId="29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37" xfId="0" applyFont="1" applyBorder="1" applyAlignment="1">
      <alignment horizontal="center" wrapText="1"/>
    </xf>
    <xf numFmtId="0" fontId="0" fillId="4" borderId="19" xfId="0" applyFill="1" applyBorder="1" applyAlignment="1">
      <alignment horizontal="center" vertical="center"/>
    </xf>
    <xf numFmtId="164" fontId="0" fillId="5" borderId="10" xfId="1" applyNumberFormat="1" applyFont="1" applyFill="1" applyBorder="1" applyAlignment="1">
      <alignment horizontal="center" vertical="center"/>
    </xf>
    <xf numFmtId="0" fontId="0" fillId="5" borderId="10" xfId="1" applyNumberFormat="1" applyFont="1" applyFill="1" applyBorder="1" applyAlignment="1">
      <alignment horizontal="center" vertical="center"/>
    </xf>
    <xf numFmtId="164" fontId="0" fillId="11" borderId="10" xfId="0" applyNumberFormat="1" applyFill="1" applyBorder="1" applyAlignment="1">
      <alignment horizontal="center" vertical="center"/>
    </xf>
    <xf numFmtId="164" fontId="0" fillId="0" borderId="39" xfId="1" applyNumberFormat="1" applyFont="1" applyBorder="1" applyAlignment="1">
      <alignment horizontal="center" vertical="center"/>
    </xf>
    <xf numFmtId="0" fontId="0" fillId="0" borderId="29" xfId="1" applyNumberFormat="1" applyFont="1" applyBorder="1" applyAlignment="1">
      <alignment horizontal="center" vertical="center"/>
    </xf>
    <xf numFmtId="164" fontId="0" fillId="0" borderId="30" xfId="1" applyNumberFormat="1" applyFont="1" applyBorder="1" applyAlignment="1">
      <alignment horizontal="center" vertical="center"/>
    </xf>
    <xf numFmtId="0" fontId="0" fillId="0" borderId="40" xfId="1" applyNumberFormat="1" applyFont="1" applyBorder="1" applyAlignment="1">
      <alignment horizontal="center" vertical="center"/>
    </xf>
    <xf numFmtId="164" fontId="0" fillId="18" borderId="10" xfId="1" applyNumberFormat="1" applyFont="1" applyFill="1" applyBorder="1"/>
    <xf numFmtId="0" fontId="0" fillId="18" borderId="10" xfId="0" applyFill="1" applyBorder="1"/>
    <xf numFmtId="165" fontId="0" fillId="18" borderId="10" xfId="0" applyNumberFormat="1" applyFill="1" applyBorder="1"/>
    <xf numFmtId="0" fontId="0" fillId="0" borderId="10" xfId="0" applyFill="1" applyBorder="1"/>
    <xf numFmtId="0" fontId="0" fillId="0" borderId="0" xfId="0" applyFill="1"/>
    <xf numFmtId="164" fontId="0" fillId="0" borderId="0" xfId="0" applyNumberFormat="1" applyFill="1" applyBorder="1"/>
    <xf numFmtId="0" fontId="0" fillId="0" borderId="0" xfId="0" applyFill="1" applyBorder="1"/>
    <xf numFmtId="164" fontId="1" fillId="0" borderId="0" xfId="1" applyNumberFormat="1" applyFill="1" applyBorder="1"/>
    <xf numFmtId="165" fontId="2" fillId="0" borderId="0" xfId="0" applyNumberFormat="1" applyFont="1" applyFill="1" applyBorder="1"/>
    <xf numFmtId="0" fontId="0" fillId="0" borderId="0" xfId="0" applyBorder="1"/>
    <xf numFmtId="164" fontId="2" fillId="0" borderId="12" xfId="1" applyNumberFormat="1" applyFont="1" applyBorder="1"/>
    <xf numFmtId="0" fontId="0" fillId="0" borderId="0" xfId="0" applyFill="1" applyAlignment="1">
      <alignment horizontal="center" vertical="center"/>
    </xf>
    <xf numFmtId="164" fontId="2" fillId="0" borderId="0" xfId="1" applyNumberFormat="1" applyFont="1" applyFill="1"/>
    <xf numFmtId="164" fontId="2" fillId="0" borderId="24" xfId="1" applyNumberFormat="1" applyFont="1" applyBorder="1"/>
    <xf numFmtId="164" fontId="2" fillId="0" borderId="26" xfId="1" applyNumberFormat="1" applyFont="1" applyBorder="1"/>
  </cellXfs>
  <cellStyles count="6">
    <cellStyle name="Moneda" xfId="1" builtinId="4"/>
    <cellStyle name="Moneda 2" xfId="4" xr:uid="{36C4CDD6-E477-4721-AC8A-BB0BC1002E6E}"/>
    <cellStyle name="Normal" xfId="0" builtinId="0"/>
    <cellStyle name="Normal 2" xfId="3" xr:uid="{E061D5B1-D5F6-4CE5-8BCD-00FDA134ED5B}"/>
    <cellStyle name="Porcentaje" xfId="2" builtinId="5"/>
    <cellStyle name="Porcentaje 2" xfId="5" xr:uid="{D385BCD8-7FA9-4E58-A6A6-7A2FBCFB0D21}"/>
  </cellStyles>
  <dxfs count="0"/>
  <tableStyles count="0" defaultTableStyle="TableStyleMedium2" defaultPivotStyle="PivotStyleLight16"/>
  <colors>
    <mruColors>
      <color rgb="FF33CCFF"/>
      <color rgb="FFD36C0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Talento%20Humano/Downloads/Cuadro%20de%20costos.xlsx" TargetMode="External"/><Relationship Id="rId2" Type="http://schemas.openxmlformats.org/officeDocument/2006/relationships/externalLinkPath" Target="file:///C:\Users\Talento%20Humano\Documents\LORCY\EVENTO%20ARMADA\Cuadro%20de%20costos.xlsx" TargetMode="External"/><Relationship Id="rId1" Type="http://schemas.openxmlformats.org/officeDocument/2006/relationships/externalLinkPath" Target="/Users/Talento%20Humano/Downloads/Cuadro%20de%20cost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tización"/>
      <sheetName val="Hoja1"/>
    </sheetNames>
    <sheetDataSet>
      <sheetData sheetId="0">
        <row r="69">
          <cell r="E69">
            <v>63000000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orcy Atencio" id="{80CE7E07-89C1-4DC2-B191-7FF74BACECAB}" userId="S::ghumana@opensea.com.co::b4a14d4f-0437-47f1-acd5-47e23cb55827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0" dT="2026-09-26T04:41:32.31" personId="{80CE7E07-89C1-4DC2-B191-7FF74BACECAB}" id="{9BAC534E-405B-41C7-B89E-676027C8DDB7}">
    <text>Se le debe a Lorcy $174.000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0BC2733-7F26-4D6B-9779-1E0EA3061F69}">
  <we:reference id="wa200009404" version="1.0.0.8" store="es-ES" storeType="OMEX"/>
  <we:alternateReferences>
    <we:reference id="wa200009404" version="1.0.0.8" store="wa200009404" storeType="OMEX"/>
  </we:alternateReferences>
  <we:properties>
    <we:property name="claude.fileId" value="&quot;b3bb9ce1-2b90-4840-9937-e6b6386d676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FF88E-CC05-4893-ABC1-08C7692A76E3}">
  <dimension ref="A1:S55"/>
  <sheetViews>
    <sheetView tabSelected="1" topLeftCell="D13" zoomScaleNormal="100" workbookViewId="0">
      <selection activeCell="M19" sqref="M19"/>
    </sheetView>
  </sheetViews>
  <sheetFormatPr baseColWidth="10" defaultRowHeight="15" x14ac:dyDescent="0.25"/>
  <cols>
    <col min="1" max="1" width="52.85546875" style="1" customWidth="1"/>
    <col min="2" max="2" width="14.28515625" style="1" bestFit="1" customWidth="1"/>
    <col min="3" max="3" width="12.85546875" style="2" customWidth="1"/>
    <col min="4" max="4" width="16.7109375" style="2" customWidth="1"/>
    <col min="5" max="5" width="15.140625" style="2" customWidth="1"/>
    <col min="6" max="6" width="15.140625" style="35" hidden="1" customWidth="1"/>
    <col min="7" max="7" width="19.85546875" style="1" customWidth="1"/>
    <col min="8" max="8" width="16.140625" style="1" customWidth="1"/>
    <col min="9" max="9" width="23.28515625" style="1" customWidth="1"/>
    <col min="10" max="10" width="25.42578125" style="1" customWidth="1"/>
    <col min="11" max="12" width="23.28515625" style="1" customWidth="1"/>
    <col min="13" max="13" width="14.28515625" style="1" customWidth="1"/>
    <col min="14" max="15" width="15.5703125" style="3" customWidth="1"/>
    <col min="16" max="16" width="12.42578125" style="3" bestFit="1" customWidth="1"/>
    <col min="17" max="17" width="16.7109375" customWidth="1"/>
    <col min="18" max="18" width="25.42578125" customWidth="1"/>
    <col min="19" max="19" width="12.42578125" bestFit="1" customWidth="1"/>
  </cols>
  <sheetData>
    <row r="1" spans="1:19" ht="27.6" customHeight="1" thickBot="1" x14ac:dyDescent="0.3">
      <c r="A1" s="227" t="s">
        <v>78</v>
      </c>
      <c r="B1" s="228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8"/>
      <c r="O1" s="228"/>
      <c r="P1" s="228"/>
      <c r="Q1" s="228"/>
      <c r="R1" s="229"/>
    </row>
    <row r="2" spans="1:19" ht="30" customHeight="1" thickBot="1" x14ac:dyDescent="0.3">
      <c r="A2" s="240" t="s">
        <v>0</v>
      </c>
      <c r="B2" s="241"/>
      <c r="C2" s="241"/>
      <c r="D2" s="241"/>
      <c r="E2" s="241"/>
      <c r="F2" s="241"/>
      <c r="G2" s="241"/>
      <c r="H2" s="241"/>
      <c r="I2" s="241"/>
      <c r="J2" s="241"/>
      <c r="K2" s="241"/>
      <c r="L2" s="241"/>
      <c r="M2" s="241"/>
      <c r="N2" s="241"/>
      <c r="O2" s="241"/>
      <c r="P2" s="241"/>
      <c r="Q2" s="241"/>
      <c r="R2" s="242"/>
    </row>
    <row r="3" spans="1:19" x14ac:dyDescent="0.25">
      <c r="A3" s="25" t="s">
        <v>1</v>
      </c>
      <c r="B3" s="26" t="s">
        <v>2</v>
      </c>
      <c r="C3" s="27" t="s">
        <v>20</v>
      </c>
      <c r="D3" s="27" t="s">
        <v>201</v>
      </c>
      <c r="E3" s="27" t="s">
        <v>19</v>
      </c>
      <c r="F3" s="31" t="s">
        <v>21</v>
      </c>
      <c r="G3" s="26" t="s">
        <v>80</v>
      </c>
      <c r="H3" s="26" t="s">
        <v>15</v>
      </c>
      <c r="I3" s="26" t="s">
        <v>194</v>
      </c>
      <c r="J3" s="26" t="s">
        <v>198</v>
      </c>
      <c r="K3" s="26" t="s">
        <v>195</v>
      </c>
      <c r="L3" s="26" t="s">
        <v>197</v>
      </c>
      <c r="M3" s="26" t="s">
        <v>33</v>
      </c>
      <c r="N3" s="27" t="s">
        <v>16</v>
      </c>
      <c r="O3" s="27" t="s">
        <v>34</v>
      </c>
      <c r="P3" s="27" t="s">
        <v>17</v>
      </c>
      <c r="Q3" s="26" t="s">
        <v>18</v>
      </c>
      <c r="R3" s="28" t="s">
        <v>23</v>
      </c>
    </row>
    <row r="4" spans="1:19" x14ac:dyDescent="0.25">
      <c r="A4" s="109" t="s">
        <v>121</v>
      </c>
      <c r="B4" s="107">
        <v>12</v>
      </c>
      <c r="C4" s="110">
        <v>25000</v>
      </c>
      <c r="D4" s="110">
        <f>C4*1.19</f>
        <v>29750</v>
      </c>
      <c r="E4" s="110">
        <f>D4/B4</f>
        <v>2479.1666666666665</v>
      </c>
      <c r="F4" s="111">
        <v>360</v>
      </c>
      <c r="G4" s="107">
        <f t="shared" ref="G4:G12" si="0">H4*B4</f>
        <v>600</v>
      </c>
      <c r="H4" s="107">
        <v>50</v>
      </c>
      <c r="I4" s="107">
        <v>19</v>
      </c>
      <c r="J4" s="249">
        <f>I4*C4</f>
        <v>475000</v>
      </c>
      <c r="K4" s="107">
        <f>H4-I4</f>
        <v>31</v>
      </c>
      <c r="L4" s="107">
        <f>K4*B4</f>
        <v>372</v>
      </c>
      <c r="M4" s="11">
        <f>L4*E4</f>
        <v>922250</v>
      </c>
      <c r="N4" s="171">
        <v>5000</v>
      </c>
      <c r="O4" s="171">
        <f>N4*L4</f>
        <v>1860000</v>
      </c>
      <c r="P4" s="171">
        <f t="shared" ref="P4:P12" si="1">N4-E4</f>
        <v>2520.8333333333335</v>
      </c>
      <c r="Q4" s="172">
        <f t="shared" ref="Q4:Q12" si="2">(N4-E4)/E4</f>
        <v>1.0168067226890758</v>
      </c>
      <c r="R4" s="15">
        <f>L4*P4</f>
        <v>937750</v>
      </c>
    </row>
    <row r="5" spans="1:19" x14ac:dyDescent="0.25">
      <c r="A5" s="101" t="s">
        <v>193</v>
      </c>
      <c r="B5" s="58">
        <v>12</v>
      </c>
      <c r="C5" s="247">
        <v>22500</v>
      </c>
      <c r="D5" s="110">
        <f t="shared" ref="D5:D12" si="3">C5*1.19</f>
        <v>26775</v>
      </c>
      <c r="E5" s="110">
        <f t="shared" ref="E5:E12" si="4">D5/B5</f>
        <v>2231.25</v>
      </c>
      <c r="F5" s="248">
        <v>360</v>
      </c>
      <c r="G5" s="58">
        <f t="shared" ref="G5" si="5">H5*B5</f>
        <v>600</v>
      </c>
      <c r="H5" s="58">
        <v>50</v>
      </c>
      <c r="I5" s="58"/>
      <c r="J5" s="249">
        <f t="shared" ref="J5:J12" si="6">I5*C5</f>
        <v>0</v>
      </c>
      <c r="K5" s="107"/>
      <c r="L5" s="107">
        <f t="shared" ref="L5:L12" si="7">K5*B5</f>
        <v>0</v>
      </c>
      <c r="M5" s="11">
        <f t="shared" ref="M5:M12" si="8">L5*E5</f>
        <v>0</v>
      </c>
      <c r="N5" s="171">
        <v>5000</v>
      </c>
      <c r="O5" s="171">
        <f t="shared" ref="O5:O12" si="9">N5*L5</f>
        <v>0</v>
      </c>
      <c r="P5" s="171">
        <f t="shared" ref="P5" si="10">N5-E5</f>
        <v>2768.75</v>
      </c>
      <c r="Q5" s="172">
        <f t="shared" ref="Q5" si="11">(N5-E5)/E5</f>
        <v>1.2408963585434174</v>
      </c>
      <c r="R5" s="15">
        <f t="shared" ref="R5:R12" si="12">L5*P5</f>
        <v>0</v>
      </c>
    </row>
    <row r="6" spans="1:19" x14ac:dyDescent="0.25">
      <c r="A6" s="109" t="s">
        <v>117</v>
      </c>
      <c r="B6" s="107">
        <v>15</v>
      </c>
      <c r="C6" s="110">
        <v>31250</v>
      </c>
      <c r="D6" s="110">
        <f t="shared" si="3"/>
        <v>37187.5</v>
      </c>
      <c r="E6" s="110">
        <f t="shared" si="4"/>
        <v>2479.1666666666665</v>
      </c>
      <c r="F6" s="111">
        <v>360</v>
      </c>
      <c r="G6" s="107">
        <f t="shared" si="0"/>
        <v>225</v>
      </c>
      <c r="H6" s="107">
        <v>15</v>
      </c>
      <c r="I6" s="107">
        <v>5</v>
      </c>
      <c r="J6" s="249">
        <f t="shared" si="6"/>
        <v>156250</v>
      </c>
      <c r="K6" s="107">
        <f>H6-I6</f>
        <v>10</v>
      </c>
      <c r="L6" s="107">
        <f t="shared" si="7"/>
        <v>150</v>
      </c>
      <c r="M6" s="11">
        <f t="shared" si="8"/>
        <v>371875</v>
      </c>
      <c r="N6" s="171">
        <v>5000</v>
      </c>
      <c r="O6" s="171">
        <f t="shared" si="9"/>
        <v>750000</v>
      </c>
      <c r="P6" s="171">
        <f t="shared" si="1"/>
        <v>2520.8333333333335</v>
      </c>
      <c r="Q6" s="172">
        <f t="shared" si="2"/>
        <v>1.0168067226890758</v>
      </c>
      <c r="R6" s="15">
        <f t="shared" si="12"/>
        <v>378125</v>
      </c>
    </row>
    <row r="7" spans="1:19" x14ac:dyDescent="0.25">
      <c r="A7" s="109" t="s">
        <v>118</v>
      </c>
      <c r="B7" s="107">
        <v>15</v>
      </c>
      <c r="C7" s="110">
        <v>31250</v>
      </c>
      <c r="D7" s="110">
        <f t="shared" si="3"/>
        <v>37187.5</v>
      </c>
      <c r="E7" s="110">
        <f t="shared" si="4"/>
        <v>2479.1666666666665</v>
      </c>
      <c r="F7" s="111">
        <v>360</v>
      </c>
      <c r="G7" s="107">
        <f t="shared" ref="G7" si="13">H7*B7</f>
        <v>225</v>
      </c>
      <c r="H7" s="107">
        <v>15</v>
      </c>
      <c r="I7" s="107">
        <v>7</v>
      </c>
      <c r="J7" s="249">
        <f t="shared" si="6"/>
        <v>218750</v>
      </c>
      <c r="K7" s="107">
        <f>H7-I7</f>
        <v>8</v>
      </c>
      <c r="L7" s="107">
        <f t="shared" si="7"/>
        <v>120</v>
      </c>
      <c r="M7" s="11">
        <f t="shared" si="8"/>
        <v>297500</v>
      </c>
      <c r="N7" s="171">
        <v>5000</v>
      </c>
      <c r="O7" s="171">
        <f t="shared" si="9"/>
        <v>600000</v>
      </c>
      <c r="P7" s="171">
        <f t="shared" ref="P7" si="14">N7-E7</f>
        <v>2520.8333333333335</v>
      </c>
      <c r="Q7" s="172">
        <f t="shared" ref="Q7" si="15">(N7-E7)/E7</f>
        <v>1.0168067226890758</v>
      </c>
      <c r="R7" s="15">
        <f t="shared" si="12"/>
        <v>302500</v>
      </c>
    </row>
    <row r="8" spans="1:19" x14ac:dyDescent="0.25">
      <c r="A8" s="109" t="s">
        <v>119</v>
      </c>
      <c r="B8" s="107">
        <v>15</v>
      </c>
      <c r="C8" s="110">
        <v>31250</v>
      </c>
      <c r="D8" s="110">
        <f t="shared" si="3"/>
        <v>37187.5</v>
      </c>
      <c r="E8" s="110">
        <f t="shared" si="4"/>
        <v>2479.1666666666665</v>
      </c>
      <c r="F8" s="111">
        <v>360</v>
      </c>
      <c r="G8" s="107">
        <f t="shared" ref="G8" si="16">H8*B8</f>
        <v>150</v>
      </c>
      <c r="H8" s="107">
        <v>10</v>
      </c>
      <c r="I8" s="107">
        <v>2</v>
      </c>
      <c r="J8" s="249">
        <f t="shared" si="6"/>
        <v>62500</v>
      </c>
      <c r="K8" s="107">
        <f>H8-I8</f>
        <v>8</v>
      </c>
      <c r="L8" s="107">
        <f t="shared" si="7"/>
        <v>120</v>
      </c>
      <c r="M8" s="11">
        <f t="shared" si="8"/>
        <v>297500</v>
      </c>
      <c r="N8" s="171">
        <v>5000</v>
      </c>
      <c r="O8" s="171">
        <f t="shared" si="9"/>
        <v>600000</v>
      </c>
      <c r="P8" s="171">
        <f t="shared" ref="P8" si="17">N8-E8</f>
        <v>2520.8333333333335</v>
      </c>
      <c r="Q8" s="172">
        <f t="shared" ref="Q8" si="18">(N8-E8)/E8</f>
        <v>1.0168067226890758</v>
      </c>
      <c r="R8" s="15">
        <f t="shared" si="12"/>
        <v>302500</v>
      </c>
    </row>
    <row r="9" spans="1:19" x14ac:dyDescent="0.25">
      <c r="A9" s="109" t="s">
        <v>120</v>
      </c>
      <c r="B9" s="107">
        <v>15</v>
      </c>
      <c r="C9" s="110">
        <v>31250</v>
      </c>
      <c r="D9" s="110">
        <f t="shared" si="3"/>
        <v>37187.5</v>
      </c>
      <c r="E9" s="110">
        <f t="shared" si="4"/>
        <v>2479.1666666666665</v>
      </c>
      <c r="F9" s="111">
        <v>360</v>
      </c>
      <c r="G9" s="107">
        <f t="shared" ref="G9" si="19">H9*B9</f>
        <v>150</v>
      </c>
      <c r="H9" s="107">
        <v>10</v>
      </c>
      <c r="I9" s="107">
        <v>5</v>
      </c>
      <c r="J9" s="249">
        <f t="shared" si="6"/>
        <v>156250</v>
      </c>
      <c r="K9" s="107">
        <f>H9-I9</f>
        <v>5</v>
      </c>
      <c r="L9" s="107">
        <f t="shared" si="7"/>
        <v>75</v>
      </c>
      <c r="M9" s="11">
        <f t="shared" si="8"/>
        <v>185937.5</v>
      </c>
      <c r="N9" s="171">
        <v>5000</v>
      </c>
      <c r="O9" s="171">
        <f t="shared" si="9"/>
        <v>375000</v>
      </c>
      <c r="P9" s="171">
        <f t="shared" ref="P9" si="20">N9-E9</f>
        <v>2520.8333333333335</v>
      </c>
      <c r="Q9" s="172">
        <f t="shared" ref="Q9" si="21">(N9-E9)/E9</f>
        <v>1.0168067226890758</v>
      </c>
      <c r="R9" s="15">
        <f t="shared" si="12"/>
        <v>189062.5</v>
      </c>
    </row>
    <row r="10" spans="1:19" x14ac:dyDescent="0.25">
      <c r="A10" s="109" t="s">
        <v>38</v>
      </c>
      <c r="B10" s="107">
        <v>24</v>
      </c>
      <c r="C10" s="110">
        <v>39999</v>
      </c>
      <c r="D10" s="110">
        <f t="shared" si="3"/>
        <v>47598.81</v>
      </c>
      <c r="E10" s="110">
        <f t="shared" si="4"/>
        <v>1983.2837499999998</v>
      </c>
      <c r="F10" s="111"/>
      <c r="G10" s="107">
        <f t="shared" ref="G10" si="22">H10*B10</f>
        <v>720</v>
      </c>
      <c r="H10" s="107">
        <v>30</v>
      </c>
      <c r="I10" s="107">
        <v>16</v>
      </c>
      <c r="J10" s="249">
        <f t="shared" si="6"/>
        <v>639984</v>
      </c>
      <c r="K10" s="107">
        <f>H10-I10</f>
        <v>14</v>
      </c>
      <c r="L10" s="107">
        <f t="shared" si="7"/>
        <v>336</v>
      </c>
      <c r="M10" s="11">
        <f t="shared" si="8"/>
        <v>666383.34</v>
      </c>
      <c r="N10" s="171">
        <v>5000</v>
      </c>
      <c r="O10" s="171">
        <f t="shared" si="9"/>
        <v>1680000</v>
      </c>
      <c r="P10" s="171">
        <f t="shared" ref="P10" si="23">N10-E10</f>
        <v>3016.7162500000004</v>
      </c>
      <c r="Q10" s="172">
        <f t="shared" ref="Q10" si="24">(N10-E10)/E10</f>
        <v>1.5210714301470984</v>
      </c>
      <c r="R10" s="15">
        <f t="shared" si="12"/>
        <v>1013616.6600000001</v>
      </c>
    </row>
    <row r="11" spans="1:19" x14ac:dyDescent="0.25">
      <c r="A11" s="109" t="s">
        <v>9</v>
      </c>
      <c r="B11" s="107">
        <v>24</v>
      </c>
      <c r="C11" s="110">
        <v>40000</v>
      </c>
      <c r="D11" s="110">
        <f t="shared" si="3"/>
        <v>47600</v>
      </c>
      <c r="E11" s="110">
        <f t="shared" si="4"/>
        <v>1983.3333333333333</v>
      </c>
      <c r="F11" s="111">
        <v>2256</v>
      </c>
      <c r="G11" s="107">
        <f t="shared" si="0"/>
        <v>6000</v>
      </c>
      <c r="H11" s="107">
        <v>250</v>
      </c>
      <c r="I11" s="107">
        <v>111</v>
      </c>
      <c r="J11" s="249">
        <f t="shared" si="6"/>
        <v>4440000</v>
      </c>
      <c r="K11" s="107">
        <f>H11-I11</f>
        <v>139</v>
      </c>
      <c r="L11" s="107">
        <f t="shared" si="7"/>
        <v>3336</v>
      </c>
      <c r="M11" s="11">
        <f t="shared" si="8"/>
        <v>6616400</v>
      </c>
      <c r="N11" s="171">
        <v>5000</v>
      </c>
      <c r="O11" s="171">
        <f t="shared" si="9"/>
        <v>16680000</v>
      </c>
      <c r="P11" s="171">
        <f t="shared" si="1"/>
        <v>3016.666666666667</v>
      </c>
      <c r="Q11" s="172">
        <f t="shared" si="2"/>
        <v>1.5210084033613447</v>
      </c>
      <c r="R11" s="15">
        <f t="shared" si="12"/>
        <v>10063600.000000002</v>
      </c>
    </row>
    <row r="12" spans="1:19" x14ac:dyDescent="0.25">
      <c r="A12" s="109" t="s">
        <v>77</v>
      </c>
      <c r="B12" s="107">
        <v>24</v>
      </c>
      <c r="C12" s="110">
        <v>57600</v>
      </c>
      <c r="D12" s="110">
        <f t="shared" si="3"/>
        <v>68544</v>
      </c>
      <c r="E12" s="110">
        <f t="shared" si="4"/>
        <v>2856</v>
      </c>
      <c r="F12" s="111">
        <v>2808</v>
      </c>
      <c r="G12" s="107">
        <f t="shared" si="0"/>
        <v>4800</v>
      </c>
      <c r="H12" s="107">
        <v>200</v>
      </c>
      <c r="I12" s="107">
        <v>0</v>
      </c>
      <c r="J12" s="249">
        <f t="shared" si="6"/>
        <v>0</v>
      </c>
      <c r="K12" s="107">
        <f>H12-I12</f>
        <v>200</v>
      </c>
      <c r="L12" s="107">
        <f t="shared" si="7"/>
        <v>4800</v>
      </c>
      <c r="M12" s="11">
        <f t="shared" si="8"/>
        <v>13708800</v>
      </c>
      <c r="N12" s="171">
        <v>5000</v>
      </c>
      <c r="O12" s="171">
        <f t="shared" si="9"/>
        <v>24000000</v>
      </c>
      <c r="P12" s="171">
        <f t="shared" si="1"/>
        <v>2144</v>
      </c>
      <c r="Q12" s="172">
        <f t="shared" si="2"/>
        <v>0.75070028011204482</v>
      </c>
      <c r="R12" s="15">
        <f t="shared" si="12"/>
        <v>10291200</v>
      </c>
    </row>
    <row r="13" spans="1:19" ht="15.75" thickBot="1" x14ac:dyDescent="0.3">
      <c r="A13" s="5"/>
      <c r="C13" s="6"/>
      <c r="D13" s="6"/>
      <c r="E13" s="6"/>
      <c r="F13" s="33"/>
      <c r="G13" s="59">
        <f>SUM(G4:G12)</f>
        <v>13470</v>
      </c>
      <c r="H13" s="1">
        <f>SUM(H4:H12)</f>
        <v>630</v>
      </c>
      <c r="J13" s="55">
        <f>SUM(J4:J12)</f>
        <v>6148734</v>
      </c>
      <c r="K13" s="1">
        <f>SUM(K4:K12)</f>
        <v>415</v>
      </c>
      <c r="L13" s="1">
        <f>SUM(L4:L12)</f>
        <v>9309</v>
      </c>
      <c r="M13" s="8">
        <f>SUM(M4:M12)</f>
        <v>23066645.84</v>
      </c>
      <c r="N13" s="7"/>
      <c r="O13" s="52">
        <f>SUM(O4:O12)</f>
        <v>46545000</v>
      </c>
      <c r="P13" s="7"/>
      <c r="R13" s="30">
        <f>SUM(R4:R12)</f>
        <v>23478354.160000004</v>
      </c>
      <c r="S13" s="53"/>
    </row>
    <row r="14" spans="1:19" x14ac:dyDescent="0.25">
      <c r="A14" s="5"/>
      <c r="C14" s="6"/>
      <c r="D14" s="6"/>
      <c r="E14" s="6"/>
      <c r="F14" s="33"/>
      <c r="G14" s="59"/>
      <c r="H14" s="55"/>
      <c r="I14" s="55"/>
      <c r="J14" s="55"/>
      <c r="K14" s="55"/>
      <c r="L14" s="55"/>
      <c r="M14" s="8"/>
      <c r="N14" s="7"/>
      <c r="O14" s="52"/>
      <c r="P14" s="7"/>
      <c r="R14" s="30"/>
      <c r="S14" s="53"/>
    </row>
    <row r="15" spans="1:19" x14ac:dyDescent="0.25">
      <c r="A15" s="5"/>
      <c r="C15" s="6"/>
      <c r="D15" s="6"/>
      <c r="E15" s="6"/>
      <c r="F15" s="33"/>
      <c r="G15" s="59"/>
      <c r="H15" s="55"/>
      <c r="I15" s="55"/>
      <c r="J15" s="55"/>
      <c r="K15" s="55"/>
      <c r="L15" s="55"/>
      <c r="M15" s="8"/>
      <c r="N15" s="7"/>
      <c r="O15" s="52"/>
      <c r="P15" s="7"/>
      <c r="R15" s="30"/>
      <c r="S15" s="53"/>
    </row>
    <row r="16" spans="1:19" ht="15.75" thickBot="1" x14ac:dyDescent="0.3">
      <c r="A16" s="5"/>
      <c r="C16" s="6"/>
      <c r="D16" s="6"/>
      <c r="E16" s="6"/>
      <c r="F16" s="33"/>
      <c r="G16" s="59"/>
      <c r="H16" s="55"/>
      <c r="I16" s="55"/>
      <c r="J16" s="55"/>
      <c r="K16" s="55"/>
      <c r="L16" s="55"/>
      <c r="M16" s="8"/>
      <c r="N16" s="7"/>
      <c r="O16" s="52"/>
      <c r="P16" s="7"/>
      <c r="R16" s="30"/>
      <c r="S16" s="53"/>
    </row>
    <row r="17" spans="1:18" ht="30" customHeight="1" thickBot="1" x14ac:dyDescent="0.3">
      <c r="A17" s="237" t="s">
        <v>10</v>
      </c>
      <c r="B17" s="238"/>
      <c r="C17" s="238"/>
      <c r="D17" s="238"/>
      <c r="E17" s="238"/>
      <c r="F17" s="238"/>
      <c r="G17" s="238"/>
      <c r="H17" s="238"/>
      <c r="I17" s="238"/>
      <c r="J17" s="238"/>
      <c r="K17" s="238"/>
      <c r="L17" s="238"/>
      <c r="M17" s="238"/>
      <c r="N17" s="238"/>
      <c r="O17" s="238"/>
      <c r="P17" s="238"/>
      <c r="Q17" s="238"/>
      <c r="R17" s="239"/>
    </row>
    <row r="18" spans="1:18" x14ac:dyDescent="0.25">
      <c r="A18" s="22" t="s">
        <v>1</v>
      </c>
      <c r="B18" s="23" t="s">
        <v>2</v>
      </c>
      <c r="C18" s="24" t="s">
        <v>3</v>
      </c>
      <c r="D18" s="24" t="s">
        <v>201</v>
      </c>
      <c r="E18" s="24" t="s">
        <v>4</v>
      </c>
      <c r="F18" s="34" t="s">
        <v>21</v>
      </c>
      <c r="G18" s="23" t="s">
        <v>79</v>
      </c>
      <c r="H18" s="23" t="s">
        <v>28</v>
      </c>
      <c r="I18" s="23" t="s">
        <v>196</v>
      </c>
      <c r="J18" s="23" t="s">
        <v>198</v>
      </c>
      <c r="K18" s="23" t="s">
        <v>195</v>
      </c>
      <c r="L18" s="23" t="s">
        <v>197</v>
      </c>
      <c r="M18" s="23" t="s">
        <v>5</v>
      </c>
      <c r="N18" s="24" t="s">
        <v>16</v>
      </c>
      <c r="O18" s="24" t="s">
        <v>34</v>
      </c>
      <c r="P18" s="24" t="s">
        <v>17</v>
      </c>
      <c r="Q18" s="23" t="s">
        <v>18</v>
      </c>
      <c r="R18" s="36" t="s">
        <v>23</v>
      </c>
    </row>
    <row r="19" spans="1:18" x14ac:dyDescent="0.25">
      <c r="A19" s="109" t="s">
        <v>11</v>
      </c>
      <c r="B19" s="107">
        <v>12</v>
      </c>
      <c r="C19" s="110">
        <v>22467</v>
      </c>
      <c r="D19" s="110">
        <f>C19*1.19</f>
        <v>26735.73</v>
      </c>
      <c r="E19" s="110">
        <f>D19/B19</f>
        <v>2227.9775</v>
      </c>
      <c r="F19" s="111">
        <v>108</v>
      </c>
      <c r="G19" s="107">
        <f>H19*B19</f>
        <v>600</v>
      </c>
      <c r="H19" s="107">
        <v>50</v>
      </c>
      <c r="I19" s="107">
        <v>0</v>
      </c>
      <c r="J19" s="249">
        <f>I19*C19</f>
        <v>0</v>
      </c>
      <c r="K19" s="107">
        <f>H19-I19</f>
        <v>50</v>
      </c>
      <c r="L19" s="107">
        <f>K19*B19</f>
        <v>600</v>
      </c>
      <c r="M19" s="11">
        <f>E19*L19</f>
        <v>1336786.5</v>
      </c>
      <c r="N19" s="12">
        <v>5000</v>
      </c>
      <c r="O19" s="12">
        <f>N19*L19</f>
        <v>3000000</v>
      </c>
      <c r="P19" s="12">
        <f>N19-E19</f>
        <v>2772.0225</v>
      </c>
      <c r="Q19" s="13">
        <f>P19/E19</f>
        <v>1.244187834033333</v>
      </c>
      <c r="R19" s="15">
        <f>P19*G19</f>
        <v>1663213.5</v>
      </c>
    </row>
    <row r="20" spans="1:18" x14ac:dyDescent="0.25">
      <c r="A20" s="109" t="s">
        <v>199</v>
      </c>
      <c r="B20" s="107">
        <v>6</v>
      </c>
      <c r="C20" s="110">
        <v>15966</v>
      </c>
      <c r="D20" s="110">
        <f t="shared" ref="D20:D24" si="25">C20*1.19</f>
        <v>18999.54</v>
      </c>
      <c r="E20" s="110">
        <f t="shared" ref="E20:E24" si="26">D20/B20</f>
        <v>3166.59</v>
      </c>
      <c r="F20" s="111">
        <v>72</v>
      </c>
      <c r="G20" s="107">
        <f t="shared" ref="G20:G24" si="27">H20*B20</f>
        <v>120</v>
      </c>
      <c r="H20" s="107">
        <v>20</v>
      </c>
      <c r="I20" s="107">
        <v>0</v>
      </c>
      <c r="J20" s="249">
        <f t="shared" ref="J20:J24" si="28">I20*C20</f>
        <v>0</v>
      </c>
      <c r="K20" s="107">
        <f t="shared" ref="K20:K24" si="29">H20-I20</f>
        <v>20</v>
      </c>
      <c r="L20" s="107">
        <f t="shared" ref="L20:L24" si="30">K20*B20</f>
        <v>120</v>
      </c>
      <c r="M20" s="11">
        <f t="shared" ref="M20:M24" si="31">E20*L20</f>
        <v>379990.80000000005</v>
      </c>
      <c r="N20" s="12">
        <v>5000</v>
      </c>
      <c r="O20" s="12">
        <f t="shared" ref="O20:O24" si="32">N20*L20</f>
        <v>600000</v>
      </c>
      <c r="P20" s="12">
        <f t="shared" ref="P20:P24" si="33">N20-E20</f>
        <v>1833.4099999999999</v>
      </c>
      <c r="Q20" s="13">
        <f t="shared" ref="Q20:Q24" si="34">P20/E20</f>
        <v>0.57898559649338877</v>
      </c>
      <c r="R20" s="15">
        <f t="shared" ref="R20:R24" si="35">P20*G20</f>
        <v>220009.19999999998</v>
      </c>
    </row>
    <row r="21" spans="1:18" x14ac:dyDescent="0.25">
      <c r="A21" s="109" t="s">
        <v>200</v>
      </c>
      <c r="B21" s="107">
        <v>6</v>
      </c>
      <c r="C21" s="110">
        <v>15966</v>
      </c>
      <c r="D21" s="110">
        <f t="shared" si="25"/>
        <v>18999.54</v>
      </c>
      <c r="E21" s="110">
        <f t="shared" si="26"/>
        <v>3166.59</v>
      </c>
      <c r="F21" s="111"/>
      <c r="G21" s="107">
        <f t="shared" si="27"/>
        <v>120</v>
      </c>
      <c r="H21" s="107">
        <v>20</v>
      </c>
      <c r="I21" s="107">
        <v>0</v>
      </c>
      <c r="J21" s="249">
        <f t="shared" si="28"/>
        <v>0</v>
      </c>
      <c r="K21" s="107">
        <f t="shared" si="29"/>
        <v>20</v>
      </c>
      <c r="L21" s="107">
        <f t="shared" si="30"/>
        <v>120</v>
      </c>
      <c r="M21" s="11">
        <f t="shared" si="31"/>
        <v>379990.80000000005</v>
      </c>
      <c r="N21" s="12">
        <v>5000</v>
      </c>
      <c r="O21" s="12">
        <f t="shared" si="32"/>
        <v>600000</v>
      </c>
      <c r="P21" s="12">
        <f t="shared" si="33"/>
        <v>1833.4099999999999</v>
      </c>
      <c r="Q21" s="13">
        <f t="shared" si="34"/>
        <v>0.57898559649338877</v>
      </c>
      <c r="R21" s="15">
        <f t="shared" si="35"/>
        <v>220009.19999999998</v>
      </c>
    </row>
    <row r="22" spans="1:18" x14ac:dyDescent="0.25">
      <c r="A22" s="109" t="s">
        <v>12</v>
      </c>
      <c r="B22" s="107">
        <v>12</v>
      </c>
      <c r="C22" s="110">
        <v>24202</v>
      </c>
      <c r="D22" s="110">
        <f t="shared" si="25"/>
        <v>28800.379999999997</v>
      </c>
      <c r="E22" s="110">
        <f t="shared" si="26"/>
        <v>2400.0316666666663</v>
      </c>
      <c r="F22" s="111">
        <v>72</v>
      </c>
      <c r="G22" s="107">
        <f t="shared" ref="G22:G23" si="36">H22*B22</f>
        <v>360</v>
      </c>
      <c r="H22" s="107">
        <v>30</v>
      </c>
      <c r="I22" s="107">
        <v>7</v>
      </c>
      <c r="J22" s="249">
        <f t="shared" ref="J22:J23" si="37">I22*C22</f>
        <v>169414</v>
      </c>
      <c r="K22" s="107">
        <f t="shared" ref="K22:K23" si="38">H22-I22</f>
        <v>23</v>
      </c>
      <c r="L22" s="107">
        <f t="shared" ref="L22:L23" si="39">K22*B22</f>
        <v>276</v>
      </c>
      <c r="M22" s="11">
        <f t="shared" si="31"/>
        <v>662408.73999999987</v>
      </c>
      <c r="N22" s="12">
        <v>5000</v>
      </c>
      <c r="O22" s="12">
        <f t="shared" si="32"/>
        <v>1380000</v>
      </c>
      <c r="P22" s="12">
        <f t="shared" ref="P22:P23" si="40">N22-E22</f>
        <v>2599.9683333333337</v>
      </c>
      <c r="Q22" s="13">
        <f t="shared" ref="Q22:Q23" si="41">P22/E22</f>
        <v>1.0833058452700974</v>
      </c>
      <c r="R22" s="15">
        <f t="shared" ref="R22:R23" si="42">P22*G22</f>
        <v>935988.60000000009</v>
      </c>
    </row>
    <row r="23" spans="1:18" x14ac:dyDescent="0.25">
      <c r="A23" s="109" t="s">
        <v>13</v>
      </c>
      <c r="B23" s="107">
        <v>12</v>
      </c>
      <c r="C23" s="110">
        <v>19479</v>
      </c>
      <c r="D23" s="110">
        <f t="shared" si="25"/>
        <v>23180.01</v>
      </c>
      <c r="E23" s="110">
        <f t="shared" si="26"/>
        <v>1931.6674999999998</v>
      </c>
      <c r="F23" s="111"/>
      <c r="G23" s="107">
        <f t="shared" si="36"/>
        <v>360</v>
      </c>
      <c r="H23" s="107">
        <v>30</v>
      </c>
      <c r="I23" s="107">
        <v>18</v>
      </c>
      <c r="J23" s="249">
        <f t="shared" si="37"/>
        <v>350622</v>
      </c>
      <c r="K23" s="107">
        <f t="shared" si="38"/>
        <v>12</v>
      </c>
      <c r="L23" s="107">
        <f t="shared" si="39"/>
        <v>144</v>
      </c>
      <c r="M23" s="11">
        <f t="shared" si="31"/>
        <v>278160.12</v>
      </c>
      <c r="N23" s="12">
        <v>5000</v>
      </c>
      <c r="O23" s="12">
        <f t="shared" si="32"/>
        <v>720000</v>
      </c>
      <c r="P23" s="12">
        <f t="shared" si="40"/>
        <v>3068.3325000000004</v>
      </c>
      <c r="Q23" s="13">
        <f t="shared" si="41"/>
        <v>1.5884371922186404</v>
      </c>
      <c r="R23" s="15">
        <f t="shared" si="42"/>
        <v>1104599.7000000002</v>
      </c>
    </row>
    <row r="24" spans="1:18" ht="15.75" thickBot="1" x14ac:dyDescent="0.3">
      <c r="A24" s="109" t="s">
        <v>14</v>
      </c>
      <c r="B24" s="107">
        <v>6</v>
      </c>
      <c r="C24" s="110">
        <v>10504</v>
      </c>
      <c r="D24" s="110">
        <f t="shared" si="25"/>
        <v>12499.76</v>
      </c>
      <c r="E24" s="110">
        <f t="shared" si="26"/>
        <v>2083.2933333333335</v>
      </c>
      <c r="F24" s="111"/>
      <c r="G24" s="107">
        <f t="shared" si="27"/>
        <v>864</v>
      </c>
      <c r="H24" s="107">
        <v>144</v>
      </c>
      <c r="I24" s="107">
        <v>116</v>
      </c>
      <c r="J24" s="249">
        <f t="shared" si="28"/>
        <v>1218464</v>
      </c>
      <c r="K24" s="107">
        <f t="shared" si="29"/>
        <v>28</v>
      </c>
      <c r="L24" s="107">
        <f t="shared" si="30"/>
        <v>168</v>
      </c>
      <c r="M24" s="11">
        <f t="shared" si="31"/>
        <v>349993.28</v>
      </c>
      <c r="N24" s="12">
        <v>5000</v>
      </c>
      <c r="O24" s="12">
        <f t="shared" si="32"/>
        <v>840000</v>
      </c>
      <c r="P24" s="12">
        <f t="shared" si="33"/>
        <v>2916.7066666666665</v>
      </c>
      <c r="Q24" s="13">
        <f t="shared" si="34"/>
        <v>1.4000460808847528</v>
      </c>
      <c r="R24" s="15">
        <f t="shared" si="35"/>
        <v>2520034.56</v>
      </c>
    </row>
    <row r="25" spans="1:18" ht="15.75" thickBot="1" x14ac:dyDescent="0.3">
      <c r="G25" s="1">
        <f>SUM(G19:G24)</f>
        <v>2424</v>
      </c>
      <c r="H25" s="1">
        <f>SUM(H19:H24)</f>
        <v>294</v>
      </c>
      <c r="J25" s="55">
        <f>SUM(J19:J24)</f>
        <v>1738500</v>
      </c>
      <c r="M25" s="19">
        <f>SUM(M19:M24)</f>
        <v>3387330.24</v>
      </c>
      <c r="N25" s="20"/>
      <c r="O25" s="264">
        <f>SUM(O19:O24)</f>
        <v>7140000</v>
      </c>
      <c r="P25" s="20"/>
      <c r="Q25" s="21"/>
      <c r="R25" s="29">
        <f>SUM(R19:R24)</f>
        <v>6663854.7599999998</v>
      </c>
    </row>
    <row r="26" spans="1:18" ht="15.75" thickBot="1" x14ac:dyDescent="0.3">
      <c r="M26" s="69"/>
      <c r="N26" s="70"/>
      <c r="O26" s="70"/>
      <c r="P26" s="70"/>
      <c r="Q26" s="71"/>
      <c r="R26" s="72"/>
    </row>
    <row r="27" spans="1:18" ht="30" customHeight="1" thickBot="1" x14ac:dyDescent="0.3">
      <c r="A27" s="230" t="s">
        <v>74</v>
      </c>
      <c r="B27" s="231"/>
      <c r="C27" s="231"/>
      <c r="D27" s="231"/>
      <c r="E27" s="231"/>
      <c r="F27" s="231"/>
      <c r="G27" s="231"/>
      <c r="H27" s="231"/>
      <c r="I27" s="231"/>
      <c r="J27" s="231"/>
      <c r="K27" s="231"/>
      <c r="L27" s="231"/>
      <c r="M27" s="231"/>
      <c r="N27" s="231"/>
      <c r="O27" s="231"/>
      <c r="P27" s="231"/>
      <c r="Q27" s="231"/>
      <c r="R27" s="232"/>
    </row>
    <row r="28" spans="1:18" x14ac:dyDescent="0.25">
      <c r="A28" s="78" t="s">
        <v>1</v>
      </c>
      <c r="B28" s="79" t="s">
        <v>2</v>
      </c>
      <c r="C28" s="80" t="s">
        <v>3</v>
      </c>
      <c r="D28" s="80" t="s">
        <v>201</v>
      </c>
      <c r="E28" s="80" t="s">
        <v>4</v>
      </c>
      <c r="F28" s="81" t="s">
        <v>21</v>
      </c>
      <c r="G28" s="79" t="s">
        <v>22</v>
      </c>
      <c r="H28" s="79" t="s">
        <v>28</v>
      </c>
      <c r="I28" s="79" t="s">
        <v>196</v>
      </c>
      <c r="J28" s="79" t="s">
        <v>198</v>
      </c>
      <c r="K28" s="79" t="s">
        <v>195</v>
      </c>
      <c r="L28" s="79" t="s">
        <v>197</v>
      </c>
      <c r="M28" s="79" t="s">
        <v>5</v>
      </c>
      <c r="N28" s="80" t="s">
        <v>16</v>
      </c>
      <c r="O28" s="80" t="s">
        <v>34</v>
      </c>
      <c r="P28" s="80" t="s">
        <v>17</v>
      </c>
      <c r="Q28" s="79" t="s">
        <v>18</v>
      </c>
      <c r="R28" s="82" t="s">
        <v>23</v>
      </c>
    </row>
    <row r="29" spans="1:18" x14ac:dyDescent="0.25">
      <c r="A29" s="54" t="s">
        <v>40</v>
      </c>
      <c r="B29" s="9">
        <v>24</v>
      </c>
      <c r="C29" s="10">
        <v>13000</v>
      </c>
      <c r="D29" s="10"/>
      <c r="E29" s="10">
        <f>C29/B29</f>
        <v>541.66666666666663</v>
      </c>
      <c r="F29" s="32">
        <v>108</v>
      </c>
      <c r="G29" s="51">
        <f>H29*B29</f>
        <v>2400</v>
      </c>
      <c r="H29" s="51">
        <v>100</v>
      </c>
      <c r="I29" s="51">
        <v>57</v>
      </c>
      <c r="J29" s="51"/>
      <c r="K29" s="51">
        <f>H29-I29</f>
        <v>43</v>
      </c>
      <c r="L29" s="51">
        <f>K29*B29</f>
        <v>1032</v>
      </c>
      <c r="M29" s="11">
        <f>K29*C29</f>
        <v>559000</v>
      </c>
      <c r="N29" s="12">
        <v>5000</v>
      </c>
      <c r="O29" s="12">
        <f>L29*N29</f>
        <v>5160000</v>
      </c>
      <c r="P29" s="12">
        <f>N29-E29</f>
        <v>4458.333333333333</v>
      </c>
      <c r="Q29" s="13">
        <f>P29/E29</f>
        <v>8.2307692307692299</v>
      </c>
      <c r="R29" s="15">
        <f>L29*P29</f>
        <v>4601000</v>
      </c>
    </row>
    <row r="30" spans="1:18" x14ac:dyDescent="0.25">
      <c r="A30" s="54" t="s">
        <v>164</v>
      </c>
      <c r="B30" s="9">
        <v>24</v>
      </c>
      <c r="C30" s="10">
        <v>4000</v>
      </c>
      <c r="D30" s="10"/>
      <c r="E30" s="10">
        <f>C30/B30</f>
        <v>166.66666666666666</v>
      </c>
      <c r="F30" s="32"/>
      <c r="G30" s="51">
        <f t="shared" ref="G30" si="43">H30*B30</f>
        <v>480</v>
      </c>
      <c r="H30" s="51">
        <v>20</v>
      </c>
      <c r="I30" s="246">
        <v>0</v>
      </c>
      <c r="J30" s="246"/>
      <c r="K30" s="51">
        <f t="shared" ref="K30:K31" si="44">H30-I30</f>
        <v>20</v>
      </c>
      <c r="L30" s="51">
        <f t="shared" ref="L30:L31" si="45">K30*B30</f>
        <v>480</v>
      </c>
      <c r="M30" s="16">
        <f t="shared" ref="M30" si="46">G30*E30</f>
        <v>80000</v>
      </c>
      <c r="N30" s="17">
        <v>10000</v>
      </c>
      <c r="O30" s="12">
        <f t="shared" ref="O30:O31" si="47">L30*N30</f>
        <v>4800000</v>
      </c>
      <c r="P30" s="17">
        <f t="shared" ref="P30" si="48">N30-E30</f>
        <v>9833.3333333333339</v>
      </c>
      <c r="Q30" s="18">
        <f t="shared" ref="Q30" si="49">P30/E30</f>
        <v>59.000000000000007</v>
      </c>
      <c r="R30" s="15">
        <v>0</v>
      </c>
    </row>
    <row r="31" spans="1:18" ht="15.75" thickBot="1" x14ac:dyDescent="0.3">
      <c r="A31" s="54" t="s">
        <v>42</v>
      </c>
      <c r="B31" s="9">
        <v>24</v>
      </c>
      <c r="C31" s="10">
        <f t="shared" ref="C31" si="50">E31*B31</f>
        <v>96000</v>
      </c>
      <c r="D31" s="10"/>
      <c r="E31" s="10">
        <v>4000</v>
      </c>
      <c r="F31" s="32"/>
      <c r="G31" s="51">
        <f t="shared" ref="G31" si="51">H31*B31</f>
        <v>480</v>
      </c>
      <c r="H31" s="51">
        <v>20</v>
      </c>
      <c r="I31" s="246">
        <v>13</v>
      </c>
      <c r="J31" s="246"/>
      <c r="K31" s="51">
        <f t="shared" si="44"/>
        <v>7</v>
      </c>
      <c r="L31" s="51">
        <f t="shared" si="45"/>
        <v>168</v>
      </c>
      <c r="M31" s="16">
        <f t="shared" ref="M31" si="52">G31*E31</f>
        <v>1920000</v>
      </c>
      <c r="N31" s="17">
        <v>10000</v>
      </c>
      <c r="O31" s="12">
        <f t="shared" si="47"/>
        <v>1680000</v>
      </c>
      <c r="P31" s="17">
        <f t="shared" ref="P31" si="53">N31-E31</f>
        <v>6000</v>
      </c>
      <c r="Q31" s="18">
        <f t="shared" ref="Q31" si="54">P31/E31</f>
        <v>1.5</v>
      </c>
      <c r="R31" s="15">
        <f t="shared" ref="R31" si="55">L31*P31</f>
        <v>1008000</v>
      </c>
    </row>
    <row r="32" spans="1:18" ht="15.75" thickBot="1" x14ac:dyDescent="0.3">
      <c r="M32" s="83">
        <f>SUM(M29:M31)</f>
        <v>2559000</v>
      </c>
      <c r="N32" s="84"/>
      <c r="O32" s="84">
        <f>SUM(O29:O31)</f>
        <v>11640000</v>
      </c>
      <c r="P32" s="84"/>
      <c r="Q32" s="85"/>
      <c r="R32" s="38">
        <f>SUM(R29:R31)</f>
        <v>5609000</v>
      </c>
    </row>
    <row r="33" spans="1:18" ht="15.75" thickBot="1" x14ac:dyDescent="0.3">
      <c r="M33" s="8"/>
      <c r="N33" s="7"/>
      <c r="O33" s="7"/>
      <c r="P33" s="7"/>
      <c r="R33" s="68"/>
    </row>
    <row r="34" spans="1:18" ht="15.75" thickBot="1" x14ac:dyDescent="0.3">
      <c r="L34" s="1" t="s">
        <v>206</v>
      </c>
      <c r="M34" s="55">
        <f>M13+M25+M32</f>
        <v>29012976.079999998</v>
      </c>
      <c r="N34" s="267" t="s">
        <v>205</v>
      </c>
      <c r="O34" s="268">
        <f>O13+O25+O32</f>
        <v>65325000</v>
      </c>
    </row>
    <row r="35" spans="1:18" ht="45.75" thickBot="1" x14ac:dyDescent="0.3">
      <c r="A35" s="169" t="s">
        <v>114</v>
      </c>
      <c r="B35" s="169" t="s">
        <v>93</v>
      </c>
      <c r="C35" s="170" t="s">
        <v>91</v>
      </c>
      <c r="D35" s="170"/>
      <c r="E35" s="170" t="s">
        <v>92</v>
      </c>
      <c r="M35" s="265"/>
      <c r="N35" s="266"/>
    </row>
    <row r="36" spans="1:18" ht="15.75" thickBot="1" x14ac:dyDescent="0.3">
      <c r="A36" s="159" t="s">
        <v>37</v>
      </c>
      <c r="B36" s="160">
        <f>75000*15+160000</f>
        <v>1285000</v>
      </c>
      <c r="C36" s="161">
        <f>B36</f>
        <v>1285000</v>
      </c>
      <c r="D36" s="161"/>
      <c r="E36" s="160"/>
      <c r="H36" s="73" t="s">
        <v>24</v>
      </c>
      <c r="I36" s="73"/>
      <c r="J36" s="73"/>
      <c r="K36" s="73"/>
      <c r="L36" s="73"/>
      <c r="M36" s="74">
        <f>M13+M25+M32</f>
        <v>29012976.079999998</v>
      </c>
      <c r="N36" s="233" t="s">
        <v>43</v>
      </c>
      <c r="O36" s="234"/>
      <c r="P36" s="75"/>
      <c r="Q36" s="76" t="s">
        <v>25</v>
      </c>
      <c r="R36" s="77">
        <f>R13+R25+R32</f>
        <v>35751208.920000002</v>
      </c>
    </row>
    <row r="37" spans="1:18" ht="15.75" thickBot="1" x14ac:dyDescent="0.3">
      <c r="A37" s="159" t="s">
        <v>53</v>
      </c>
      <c r="B37" s="160">
        <f>65000*9</f>
        <v>585000</v>
      </c>
      <c r="C37" s="160"/>
      <c r="D37" s="160"/>
      <c r="E37" s="160"/>
      <c r="H37" s="39" t="s">
        <v>26</v>
      </c>
      <c r="I37" s="39"/>
      <c r="J37" s="39"/>
      <c r="K37" s="39"/>
      <c r="L37" s="39"/>
      <c r="M37" s="37">
        <f>M36/2</f>
        <v>14506488.039999999</v>
      </c>
      <c r="N37" s="235">
        <f>M37/2</f>
        <v>7253244.0199999996</v>
      </c>
      <c r="O37" s="236"/>
      <c r="P37" s="4"/>
      <c r="Q37" s="40" t="s">
        <v>27</v>
      </c>
      <c r="R37" s="38">
        <f>R36/2-P37</f>
        <v>17875604.460000001</v>
      </c>
    </row>
    <row r="38" spans="1:18" x14ac:dyDescent="0.25">
      <c r="A38" s="159" t="s">
        <v>39</v>
      </c>
      <c r="B38" s="160">
        <v>420000</v>
      </c>
      <c r="C38" s="161"/>
      <c r="D38" s="161"/>
      <c r="E38" s="161">
        <f>B38</f>
        <v>420000</v>
      </c>
      <c r="H38" s="66"/>
      <c r="I38" s="66"/>
      <c r="J38" s="66"/>
      <c r="K38" s="66"/>
      <c r="L38" s="66"/>
      <c r="M38" s="8"/>
      <c r="N38" s="4"/>
      <c r="O38" s="4"/>
      <c r="P38" s="4"/>
      <c r="Q38" s="67"/>
      <c r="R38" s="68"/>
    </row>
    <row r="39" spans="1:18" x14ac:dyDescent="0.25">
      <c r="A39" s="159" t="s">
        <v>94</v>
      </c>
      <c r="B39" s="160">
        <f>200000*8</f>
        <v>1600000</v>
      </c>
      <c r="C39" s="161"/>
      <c r="D39" s="161"/>
      <c r="E39" s="161"/>
      <c r="H39" s="66"/>
      <c r="I39" s="66"/>
      <c r="J39" s="66"/>
      <c r="K39" s="66"/>
      <c r="L39" s="66"/>
      <c r="M39" s="8"/>
      <c r="N39" s="4"/>
      <c r="O39" s="4"/>
      <c r="P39" s="4"/>
      <c r="Q39" s="67"/>
      <c r="R39" s="68"/>
    </row>
    <row r="40" spans="1:18" x14ac:dyDescent="0.25">
      <c r="A40" s="159" t="s">
        <v>113</v>
      </c>
      <c r="B40" s="160">
        <f>25000*9</f>
        <v>225000</v>
      </c>
      <c r="C40" s="161">
        <f>B40</f>
        <v>225000</v>
      </c>
      <c r="D40" s="161"/>
      <c r="E40" s="161"/>
      <c r="H40" s="66"/>
      <c r="I40" s="66"/>
      <c r="J40" s="66"/>
      <c r="K40" s="66"/>
      <c r="L40" s="66"/>
      <c r="M40" s="8"/>
      <c r="N40" s="4">
        <f>M36+R36</f>
        <v>64764185</v>
      </c>
      <c r="O40" s="4"/>
      <c r="P40" s="4"/>
      <c r="Q40" s="67"/>
      <c r="R40" s="68"/>
    </row>
    <row r="41" spans="1:18" x14ac:dyDescent="0.25">
      <c r="A41" s="159" t="s">
        <v>112</v>
      </c>
      <c r="B41" s="160">
        <v>174000</v>
      </c>
      <c r="C41" s="161"/>
      <c r="D41" s="161"/>
      <c r="E41" s="161">
        <f>B41</f>
        <v>174000</v>
      </c>
      <c r="H41" s="66"/>
      <c r="I41" s="66"/>
      <c r="J41" s="66"/>
      <c r="K41" s="66"/>
      <c r="L41" s="66"/>
      <c r="M41" s="8"/>
      <c r="N41" s="4"/>
      <c r="O41" s="4"/>
      <c r="P41" s="4"/>
      <c r="Q41" s="67"/>
      <c r="R41" s="68"/>
    </row>
    <row r="42" spans="1:18" x14ac:dyDescent="0.25">
      <c r="A42" s="159" t="s">
        <v>115</v>
      </c>
      <c r="B42" s="160">
        <v>5000000</v>
      </c>
      <c r="C42" s="161">
        <v>5000000</v>
      </c>
      <c r="D42" s="161"/>
      <c r="E42" s="161"/>
      <c r="H42" s="66"/>
      <c r="I42" s="66"/>
      <c r="J42" s="66"/>
      <c r="K42" s="66"/>
      <c r="L42" s="66"/>
      <c r="M42" s="8"/>
      <c r="N42" s="4"/>
      <c r="O42" s="4"/>
      <c r="P42" s="4"/>
      <c r="Q42" s="67"/>
      <c r="R42" s="68"/>
    </row>
    <row r="43" spans="1:18" x14ac:dyDescent="0.25">
      <c r="A43" s="159" t="s">
        <v>116</v>
      </c>
      <c r="B43" s="160">
        <f>M13</f>
        <v>23066645.84</v>
      </c>
      <c r="C43" s="161">
        <f>B43*50%</f>
        <v>11533322.92</v>
      </c>
      <c r="D43" s="161"/>
      <c r="E43" s="161"/>
      <c r="H43" s="66"/>
      <c r="I43" s="66"/>
      <c r="J43" s="66"/>
      <c r="K43" s="66"/>
      <c r="L43" s="66"/>
      <c r="M43" s="8"/>
      <c r="N43" s="4"/>
      <c r="O43" s="4"/>
      <c r="P43" s="4"/>
      <c r="Q43" s="67"/>
      <c r="R43" s="68"/>
    </row>
    <row r="44" spans="1:18" x14ac:dyDescent="0.25">
      <c r="A44" s="159" t="s">
        <v>122</v>
      </c>
      <c r="B44" s="160">
        <f>M25</f>
        <v>3387330.24</v>
      </c>
      <c r="C44" s="161">
        <f>B44</f>
        <v>3387330.24</v>
      </c>
      <c r="D44" s="161"/>
      <c r="E44" s="161"/>
      <c r="H44" s="66"/>
      <c r="I44" s="66"/>
      <c r="J44" s="66"/>
      <c r="K44" s="66"/>
      <c r="L44" s="66"/>
      <c r="M44" s="8"/>
      <c r="N44" s="4"/>
      <c r="O44" s="4"/>
      <c r="P44" s="4"/>
      <c r="Q44" s="67"/>
      <c r="R44" s="68"/>
    </row>
    <row r="45" spans="1:18" x14ac:dyDescent="0.25">
      <c r="A45" s="159" t="s">
        <v>123</v>
      </c>
      <c r="B45" s="160" t="e">
        <f>#REF!</f>
        <v>#REF!</v>
      </c>
      <c r="C45" s="161" t="e">
        <f>B45</f>
        <v>#REF!</v>
      </c>
      <c r="D45" s="161"/>
      <c r="E45" s="161"/>
      <c r="H45" s="66"/>
      <c r="I45" s="66"/>
      <c r="J45" s="66"/>
      <c r="K45" s="66"/>
      <c r="L45" s="66"/>
      <c r="M45" s="8"/>
      <c r="N45" s="4"/>
      <c r="O45" s="4"/>
      <c r="P45" s="4"/>
      <c r="Q45" s="67"/>
      <c r="R45" s="68"/>
    </row>
    <row r="46" spans="1:18" x14ac:dyDescent="0.25">
      <c r="A46" s="159" t="s">
        <v>64</v>
      </c>
      <c r="B46" s="160">
        <v>1000000</v>
      </c>
      <c r="C46" s="161"/>
      <c r="D46" s="161"/>
      <c r="E46" s="161"/>
      <c r="H46" s="66"/>
      <c r="I46" s="66"/>
      <c r="J46" s="66"/>
      <c r="K46" s="66"/>
      <c r="L46" s="66"/>
      <c r="M46" s="8"/>
      <c r="N46" s="4"/>
      <c r="O46" s="4"/>
      <c r="P46" s="4"/>
      <c r="Q46" s="67"/>
      <c r="R46" s="68"/>
    </row>
    <row r="47" spans="1:18" x14ac:dyDescent="0.25">
      <c r="A47" s="168" t="s">
        <v>124</v>
      </c>
      <c r="B47" s="173" t="e">
        <f>SUM(B36:B45)</f>
        <v>#REF!</v>
      </c>
      <c r="C47" s="10"/>
      <c r="D47" s="10"/>
      <c r="E47" s="10"/>
      <c r="H47" s="66"/>
      <c r="I47" s="66"/>
      <c r="J47" s="66"/>
      <c r="K47" s="66"/>
      <c r="L47" s="66"/>
      <c r="M47" s="8"/>
      <c r="N47" s="4"/>
      <c r="O47" s="4"/>
      <c r="P47" s="4"/>
      <c r="Q47" s="67"/>
      <c r="R47" s="68"/>
    </row>
    <row r="48" spans="1:18" x14ac:dyDescent="0.25">
      <c r="A48" s="57"/>
      <c r="B48" s="2"/>
      <c r="H48" s="66"/>
      <c r="I48" s="66"/>
      <c r="J48" s="66"/>
      <c r="K48" s="66"/>
      <c r="L48" s="66"/>
      <c r="M48" s="8"/>
      <c r="N48" s="4"/>
      <c r="O48" s="4"/>
      <c r="P48" s="4"/>
      <c r="Q48" s="67"/>
      <c r="R48" s="68"/>
    </row>
    <row r="49" spans="1:18" x14ac:dyDescent="0.25">
      <c r="A49" s="57"/>
      <c r="B49" s="65"/>
      <c r="H49" s="66"/>
      <c r="I49" s="66"/>
      <c r="J49" s="66"/>
      <c r="K49" s="66"/>
      <c r="L49" s="66"/>
      <c r="M49" s="8"/>
      <c r="N49" s="4"/>
      <c r="O49" s="4"/>
      <c r="P49" s="4"/>
      <c r="Q49" s="67"/>
      <c r="R49" s="68"/>
    </row>
    <row r="51" spans="1:18" hidden="1" x14ac:dyDescent="0.25">
      <c r="A51" s="41" t="s">
        <v>29</v>
      </c>
      <c r="B51" s="42" t="s">
        <v>0</v>
      </c>
      <c r="C51" s="43" t="s">
        <v>10</v>
      </c>
      <c r="D51" s="250"/>
      <c r="E51" s="44" t="s">
        <v>36</v>
      </c>
    </row>
    <row r="52" spans="1:18" hidden="1" x14ac:dyDescent="0.25">
      <c r="A52" s="14" t="s">
        <v>30</v>
      </c>
      <c r="B52" s="60">
        <f>SUM(G4:G6)</f>
        <v>1425</v>
      </c>
      <c r="C52" s="32">
        <f>SUM(G19:G24)</f>
        <v>2424</v>
      </c>
      <c r="D52" s="251"/>
      <c r="E52" s="56">
        <v>0</v>
      </c>
    </row>
    <row r="53" spans="1:18" ht="15.75" hidden="1" thickBot="1" x14ac:dyDescent="0.3">
      <c r="A53" s="45" t="s">
        <v>31</v>
      </c>
      <c r="B53" s="46">
        <f>SUM(G11:G12)</f>
        <v>10800</v>
      </c>
      <c r="C53" s="47"/>
      <c r="D53" s="252"/>
      <c r="E53" s="48"/>
    </row>
    <row r="54" spans="1:18" ht="15.75" hidden="1" thickBot="1" x14ac:dyDescent="0.3">
      <c r="A54" s="49" t="s">
        <v>32</v>
      </c>
      <c r="B54" s="61">
        <f>B52+B53</f>
        <v>12225</v>
      </c>
      <c r="C54" s="50">
        <f>C53+C52</f>
        <v>2424</v>
      </c>
      <c r="D54" s="253"/>
      <c r="E54" s="62">
        <f>B54+C54+E52</f>
        <v>14649</v>
      </c>
    </row>
    <row r="55" spans="1:18" hidden="1" x14ac:dyDescent="0.25"/>
  </sheetData>
  <mergeCells count="6">
    <mergeCell ref="A1:R1"/>
    <mergeCell ref="A27:R27"/>
    <mergeCell ref="N36:O36"/>
    <mergeCell ref="N37:O37"/>
    <mergeCell ref="A17:R17"/>
    <mergeCell ref="A2:R2"/>
  </mergeCells>
  <pageMargins left="0.7" right="0.7" top="0.75" bottom="0.75" header="0.3" footer="0.3"/>
  <pageSetup paperSize="9" scale="67" orientation="landscape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00748-FA03-4579-968A-6562D099F0ED}">
  <dimension ref="A1:E20"/>
  <sheetViews>
    <sheetView workbookViewId="0">
      <selection activeCell="G14" sqref="G14"/>
    </sheetView>
  </sheetViews>
  <sheetFormatPr baseColWidth="10" defaultRowHeight="15" x14ac:dyDescent="0.25"/>
  <cols>
    <col min="1" max="1" width="32" customWidth="1"/>
    <col min="4" max="4" width="32.7109375" customWidth="1"/>
  </cols>
  <sheetData>
    <row r="1" spans="1:5" x14ac:dyDescent="0.25">
      <c r="A1" t="s">
        <v>67</v>
      </c>
    </row>
    <row r="2" spans="1:5" x14ac:dyDescent="0.25">
      <c r="A2" s="97" t="s">
        <v>68</v>
      </c>
      <c r="B2" s="1" t="s">
        <v>71</v>
      </c>
      <c r="D2" t="s">
        <v>75</v>
      </c>
      <c r="E2" t="s">
        <v>71</v>
      </c>
    </row>
    <row r="3" spans="1:5" x14ac:dyDescent="0.25">
      <c r="A3" s="98" t="s">
        <v>73</v>
      </c>
      <c r="B3" s="99">
        <v>60</v>
      </c>
      <c r="D3" s="102" t="s">
        <v>6</v>
      </c>
      <c r="E3" s="108">
        <v>600</v>
      </c>
    </row>
    <row r="4" spans="1:5" x14ac:dyDescent="0.25">
      <c r="A4" s="98" t="s">
        <v>6</v>
      </c>
      <c r="B4" s="99">
        <v>360</v>
      </c>
      <c r="D4" s="102" t="s">
        <v>7</v>
      </c>
      <c r="E4" s="108">
        <v>360</v>
      </c>
    </row>
    <row r="5" spans="1:5" x14ac:dyDescent="0.25">
      <c r="A5" s="98" t="s">
        <v>8</v>
      </c>
      <c r="B5" s="99">
        <v>270</v>
      </c>
      <c r="D5" s="102" t="s">
        <v>8</v>
      </c>
      <c r="E5" s="108">
        <v>750</v>
      </c>
    </row>
    <row r="6" spans="1:5" x14ac:dyDescent="0.25">
      <c r="A6" s="98" t="s">
        <v>69</v>
      </c>
      <c r="B6" s="99">
        <v>120</v>
      </c>
      <c r="D6" s="102" t="s">
        <v>38</v>
      </c>
      <c r="E6" s="108">
        <v>360</v>
      </c>
    </row>
    <row r="7" spans="1:5" x14ac:dyDescent="0.25">
      <c r="A7" s="98" t="s">
        <v>9</v>
      </c>
      <c r="B7" s="99">
        <v>720</v>
      </c>
      <c r="D7" s="102" t="s">
        <v>9</v>
      </c>
      <c r="E7" s="108">
        <v>0</v>
      </c>
    </row>
    <row r="8" spans="1:5" x14ac:dyDescent="0.25">
      <c r="A8" s="98" t="s">
        <v>70</v>
      </c>
      <c r="B8" s="99">
        <v>720</v>
      </c>
      <c r="D8" s="102" t="s">
        <v>76</v>
      </c>
      <c r="E8" s="108">
        <v>4800</v>
      </c>
    </row>
    <row r="9" spans="1:5" x14ac:dyDescent="0.25">
      <c r="A9" s="98" t="s">
        <v>35</v>
      </c>
      <c r="B9" s="100">
        <v>4800</v>
      </c>
      <c r="E9" s="66">
        <f>SUM(E3:E8)</f>
        <v>6870</v>
      </c>
    </row>
    <row r="10" spans="1:5" x14ac:dyDescent="0.25">
      <c r="B10" s="66">
        <f>SUM(B3:B9)</f>
        <v>7050</v>
      </c>
    </row>
    <row r="11" spans="1:5" x14ac:dyDescent="0.25">
      <c r="A11" s="101" t="s">
        <v>11</v>
      </c>
      <c r="B11" s="58">
        <v>336</v>
      </c>
      <c r="D11" s="103" t="s">
        <v>11</v>
      </c>
      <c r="E11" s="104">
        <v>600</v>
      </c>
    </row>
    <row r="12" spans="1:5" x14ac:dyDescent="0.25">
      <c r="A12" s="101" t="s">
        <v>12</v>
      </c>
      <c r="B12" s="58">
        <v>96</v>
      </c>
      <c r="D12" s="103" t="s">
        <v>12</v>
      </c>
      <c r="E12" s="104">
        <v>360</v>
      </c>
    </row>
    <row r="13" spans="1:5" x14ac:dyDescent="0.25">
      <c r="A13" s="101" t="s">
        <v>13</v>
      </c>
      <c r="B13" s="58">
        <v>144</v>
      </c>
      <c r="D13" s="103" t="s">
        <v>13</v>
      </c>
      <c r="E13" s="104">
        <v>360</v>
      </c>
    </row>
    <row r="14" spans="1:5" x14ac:dyDescent="0.25">
      <c r="A14" s="101" t="s">
        <v>14</v>
      </c>
      <c r="B14" s="58">
        <v>90</v>
      </c>
      <c r="D14" s="103" t="s">
        <v>14</v>
      </c>
      <c r="E14" s="104">
        <v>240</v>
      </c>
    </row>
    <row r="15" spans="1:5" x14ac:dyDescent="0.25">
      <c r="A15" s="101" t="s">
        <v>72</v>
      </c>
      <c r="B15" s="58">
        <v>960</v>
      </c>
      <c r="E15" s="66">
        <f>SUM(E11:E14)</f>
        <v>1560</v>
      </c>
    </row>
    <row r="16" spans="1:5" x14ac:dyDescent="0.25">
      <c r="B16" s="97">
        <f>SUM(B11:B15)</f>
        <v>1626</v>
      </c>
    </row>
    <row r="17" spans="4:5" x14ac:dyDescent="0.25">
      <c r="D17" s="105" t="s">
        <v>40</v>
      </c>
      <c r="E17" s="106">
        <v>1200</v>
      </c>
    </row>
    <row r="18" spans="4:5" x14ac:dyDescent="0.25">
      <c r="D18" s="105" t="s">
        <v>41</v>
      </c>
      <c r="E18" s="106">
        <v>1200</v>
      </c>
    </row>
    <row r="19" spans="4:5" x14ac:dyDescent="0.25">
      <c r="D19" s="105" t="s">
        <v>42</v>
      </c>
      <c r="E19" s="106">
        <v>360</v>
      </c>
    </row>
    <row r="20" spans="4:5" x14ac:dyDescent="0.25">
      <c r="E20" s="66">
        <f>SUM(E17:E19)</f>
        <v>2760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E51B6-8D45-461B-A092-60E0117CDF65}">
  <dimension ref="A1:J10"/>
  <sheetViews>
    <sheetView zoomScaleNormal="100" workbookViewId="0">
      <selection activeCell="B11" sqref="B11"/>
    </sheetView>
  </sheetViews>
  <sheetFormatPr baseColWidth="10" defaultRowHeight="15" x14ac:dyDescent="0.25"/>
  <cols>
    <col min="1" max="1" width="33.85546875" style="1" customWidth="1"/>
    <col min="2" max="2" width="11.5703125" style="1"/>
    <col min="3" max="3" width="15.140625" style="2" customWidth="1"/>
    <col min="4" max="4" width="15.140625" style="35" hidden="1" customWidth="1"/>
    <col min="5" max="6" width="14.85546875" style="1" customWidth="1"/>
    <col min="7" max="8" width="14.28515625" style="1" customWidth="1"/>
    <col min="9" max="9" width="25.42578125" customWidth="1"/>
    <col min="10" max="10" width="12.42578125" bestFit="1" customWidth="1"/>
  </cols>
  <sheetData>
    <row r="1" spans="1:10" ht="27.6" customHeight="1" thickBot="1" x14ac:dyDescent="0.3">
      <c r="A1" s="227" t="s">
        <v>100</v>
      </c>
      <c r="B1" s="228"/>
      <c r="C1" s="228"/>
      <c r="D1" s="228"/>
      <c r="E1" s="228"/>
      <c r="F1" s="228"/>
      <c r="G1" s="228"/>
      <c r="H1" s="228"/>
      <c r="I1" s="229"/>
    </row>
    <row r="2" spans="1:10" ht="30" customHeight="1" thickBot="1" x14ac:dyDescent="0.3">
      <c r="A2" s="240" t="s">
        <v>44</v>
      </c>
      <c r="B2" s="241"/>
      <c r="C2" s="241"/>
      <c r="D2" s="241"/>
      <c r="E2" s="241"/>
      <c r="F2" s="241"/>
      <c r="G2" s="241"/>
      <c r="H2" s="241"/>
      <c r="I2" s="242"/>
    </row>
    <row r="3" spans="1:10" x14ac:dyDescent="0.25">
      <c r="A3" s="25" t="s">
        <v>1</v>
      </c>
      <c r="B3" s="26" t="s">
        <v>46</v>
      </c>
      <c r="C3" s="27" t="s">
        <v>19</v>
      </c>
      <c r="D3" s="31" t="s">
        <v>21</v>
      </c>
      <c r="E3" s="26" t="s">
        <v>47</v>
      </c>
      <c r="F3" s="26" t="s">
        <v>17</v>
      </c>
      <c r="G3" s="26" t="s">
        <v>48</v>
      </c>
      <c r="H3" s="86" t="s">
        <v>49</v>
      </c>
      <c r="I3" s="28" t="s">
        <v>23</v>
      </c>
    </row>
    <row r="4" spans="1:10" x14ac:dyDescent="0.25">
      <c r="A4" s="14" t="s">
        <v>45</v>
      </c>
      <c r="B4" s="9">
        <v>1000</v>
      </c>
      <c r="C4" s="63">
        <v>1200</v>
      </c>
      <c r="D4" s="64">
        <v>300</v>
      </c>
      <c r="E4" s="63">
        <v>1450</v>
      </c>
      <c r="F4" s="63">
        <f>E4-C4</f>
        <v>250</v>
      </c>
      <c r="G4" s="63">
        <f>B4*C4</f>
        <v>1200000</v>
      </c>
      <c r="H4" s="87">
        <f>B4*E4</f>
        <v>1450000</v>
      </c>
      <c r="I4" s="88">
        <f>H4-G4</f>
        <v>250000</v>
      </c>
    </row>
    <row r="5" spans="1:10" x14ac:dyDescent="0.25">
      <c r="A5" s="14" t="s">
        <v>50</v>
      </c>
      <c r="B5" s="9">
        <v>140</v>
      </c>
      <c r="C5" s="63">
        <v>9000</v>
      </c>
      <c r="D5" s="64">
        <v>360</v>
      </c>
      <c r="E5" s="63">
        <v>11500</v>
      </c>
      <c r="F5" s="63">
        <f t="shared" ref="F5:F7" si="0">E5-C5</f>
        <v>2500</v>
      </c>
      <c r="G5" s="63">
        <f t="shared" ref="G5:G7" si="1">B5*C5</f>
        <v>1260000</v>
      </c>
      <c r="H5" s="87">
        <f t="shared" ref="H5:H7" si="2">B5*E5</f>
        <v>1610000</v>
      </c>
      <c r="I5" s="88">
        <f t="shared" ref="I5:I7" si="3">H5-G5</f>
        <v>350000</v>
      </c>
    </row>
    <row r="6" spans="1:10" x14ac:dyDescent="0.25">
      <c r="A6" s="14" t="s">
        <v>51</v>
      </c>
      <c r="B6" s="9">
        <v>200</v>
      </c>
      <c r="C6" s="63">
        <v>9000</v>
      </c>
      <c r="D6" s="64">
        <v>360</v>
      </c>
      <c r="E6" s="63">
        <v>11500</v>
      </c>
      <c r="F6" s="63">
        <f t="shared" si="0"/>
        <v>2500</v>
      </c>
      <c r="G6" s="63">
        <f t="shared" si="1"/>
        <v>1800000</v>
      </c>
      <c r="H6" s="87">
        <f t="shared" si="2"/>
        <v>2300000</v>
      </c>
      <c r="I6" s="88">
        <f t="shared" si="3"/>
        <v>500000</v>
      </c>
    </row>
    <row r="7" spans="1:10" ht="15.75" thickBot="1" x14ac:dyDescent="0.3">
      <c r="A7" s="14" t="s">
        <v>52</v>
      </c>
      <c r="B7" s="9">
        <v>1</v>
      </c>
      <c r="C7" s="63">
        <v>1100000</v>
      </c>
      <c r="D7" s="64"/>
      <c r="E7" s="89">
        <v>1100000</v>
      </c>
      <c r="F7" s="89">
        <f t="shared" si="0"/>
        <v>0</v>
      </c>
      <c r="G7" s="89">
        <f t="shared" si="1"/>
        <v>1100000</v>
      </c>
      <c r="H7" s="90">
        <f t="shared" si="2"/>
        <v>1100000</v>
      </c>
      <c r="I7" s="91">
        <f t="shared" si="3"/>
        <v>0</v>
      </c>
    </row>
    <row r="8" spans="1:10" ht="15.75" thickBot="1" x14ac:dyDescent="0.3">
      <c r="A8" s="5"/>
      <c r="C8" s="6"/>
      <c r="D8" s="33"/>
      <c r="E8" s="92">
        <f>SUM(E4:E7)</f>
        <v>1124450</v>
      </c>
      <c r="F8" s="93">
        <f>SUM(F4:F7)</f>
        <v>5250</v>
      </c>
      <c r="G8" s="94">
        <f>SUM(G4:G7)</f>
        <v>5360000</v>
      </c>
      <c r="H8" s="95">
        <f>SUM(H4:H7)</f>
        <v>6460000</v>
      </c>
      <c r="I8" s="38">
        <f>SUM(I4:I7)</f>
        <v>1100000</v>
      </c>
      <c r="J8" s="53"/>
    </row>
    <row r="9" spans="1:10" x14ac:dyDescent="0.25">
      <c r="A9" s="5"/>
      <c r="C9" s="6"/>
      <c r="D9" s="33"/>
      <c r="E9" s="59"/>
      <c r="F9" s="55"/>
      <c r="G9" s="8"/>
      <c r="H9" s="8"/>
      <c r="I9" s="30"/>
      <c r="J9" s="53"/>
    </row>
    <row r="10" spans="1:10" x14ac:dyDescent="0.25">
      <c r="A10" s="157" t="s">
        <v>91</v>
      </c>
      <c r="B10" s="158">
        <v>3500000</v>
      </c>
      <c r="G10" s="8"/>
      <c r="H10" s="8"/>
      <c r="I10" s="68"/>
    </row>
  </sheetData>
  <mergeCells count="2">
    <mergeCell ref="A1:I1"/>
    <mergeCell ref="A2:I2"/>
  </mergeCells>
  <pageMargins left="0.7" right="0.7" top="0.75" bottom="0.75" header="0.3" footer="0.3"/>
  <pageSetup paperSize="9" scale="67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9E779-4DFB-455D-ABBC-86BEF5908A20}">
  <dimension ref="A1:I43"/>
  <sheetViews>
    <sheetView topLeftCell="A27" workbookViewId="0">
      <selection activeCell="E29" sqref="E29"/>
    </sheetView>
  </sheetViews>
  <sheetFormatPr baseColWidth="10" defaultColWidth="11.5703125" defaultRowHeight="12.75" x14ac:dyDescent="0.2"/>
  <cols>
    <col min="1" max="1" width="25.7109375" style="96" customWidth="1"/>
    <col min="2" max="2" width="26.7109375" style="96" customWidth="1"/>
    <col min="3" max="3" width="32" style="96" customWidth="1"/>
    <col min="4" max="6" width="30.140625" style="96" customWidth="1"/>
    <col min="7" max="7" width="12.7109375" style="96" bestFit="1" customWidth="1"/>
    <col min="8" max="8" width="13.85546875" style="96" bestFit="1" customWidth="1"/>
    <col min="9" max="16384" width="11.5703125" style="96"/>
  </cols>
  <sheetData>
    <row r="1" spans="1:9" x14ac:dyDescent="0.2">
      <c r="A1" s="113" t="s">
        <v>127</v>
      </c>
      <c r="B1" s="114">
        <v>63000000</v>
      </c>
    </row>
    <row r="2" spans="1:9" x14ac:dyDescent="0.2">
      <c r="A2" s="113" t="s">
        <v>84</v>
      </c>
      <c r="B2" s="114">
        <f>B1-B3-B4</f>
        <v>21000000</v>
      </c>
    </row>
    <row r="3" spans="1:9" x14ac:dyDescent="0.2">
      <c r="A3" s="115">
        <v>46284</v>
      </c>
      <c r="B3" s="116">
        <v>22000000</v>
      </c>
    </row>
    <row r="4" spans="1:9" ht="13.5" thickBot="1" x14ac:dyDescent="0.25">
      <c r="A4" s="115">
        <v>46290</v>
      </c>
      <c r="B4" s="116">
        <v>20000000</v>
      </c>
    </row>
    <row r="5" spans="1:9" ht="26.25" thickBot="1" x14ac:dyDescent="0.25">
      <c r="A5" s="150" t="s">
        <v>54</v>
      </c>
      <c r="B5" s="151"/>
      <c r="C5" s="152" t="s">
        <v>81</v>
      </c>
      <c r="D5" s="153" t="s">
        <v>82</v>
      </c>
      <c r="E5" s="154"/>
      <c r="F5" s="155" t="s">
        <v>90</v>
      </c>
      <c r="G5" s="155" t="s">
        <v>85</v>
      </c>
      <c r="H5" s="155" t="s">
        <v>86</v>
      </c>
      <c r="I5" s="156" t="s">
        <v>87</v>
      </c>
    </row>
    <row r="6" spans="1:9" x14ac:dyDescent="0.2">
      <c r="A6" s="144" t="s">
        <v>55</v>
      </c>
      <c r="B6" s="145">
        <v>35000000</v>
      </c>
      <c r="C6" s="189">
        <v>14000000</v>
      </c>
      <c r="D6" s="146">
        <v>3500000</v>
      </c>
      <c r="E6" s="147"/>
      <c r="F6" s="147"/>
      <c r="G6" s="148">
        <f>B6-C6-D6</f>
        <v>17500000</v>
      </c>
      <c r="H6" s="147"/>
      <c r="I6" s="149"/>
    </row>
    <row r="7" spans="1:9" x14ac:dyDescent="0.2">
      <c r="A7" s="131" t="s">
        <v>56</v>
      </c>
      <c r="B7" s="118">
        <v>2100000</v>
      </c>
      <c r="C7" s="123"/>
      <c r="D7" s="121"/>
      <c r="E7" s="117"/>
      <c r="F7" s="117"/>
      <c r="G7" s="120">
        <f>B7</f>
        <v>2100000</v>
      </c>
      <c r="H7" s="117"/>
      <c r="I7" s="132"/>
    </row>
    <row r="8" spans="1:9" x14ac:dyDescent="0.2">
      <c r="A8" s="131" t="s">
        <v>57</v>
      </c>
      <c r="B8" s="118">
        <v>7700000</v>
      </c>
      <c r="C8" s="123">
        <v>4000000</v>
      </c>
      <c r="D8" s="121"/>
      <c r="E8" s="117"/>
      <c r="F8" s="117"/>
      <c r="G8" s="120">
        <f>B8-C8</f>
        <v>3700000</v>
      </c>
      <c r="H8" s="117"/>
      <c r="I8" s="132"/>
    </row>
    <row r="9" spans="1:9" x14ac:dyDescent="0.2">
      <c r="A9" s="131" t="s">
        <v>58</v>
      </c>
      <c r="B9" s="118">
        <v>2048000</v>
      </c>
      <c r="C9" s="123"/>
      <c r="D9" s="119">
        <v>1000000</v>
      </c>
      <c r="E9" s="117"/>
      <c r="F9" s="120">
        <f>B9-D9</f>
        <v>1048000</v>
      </c>
      <c r="G9" s="120"/>
      <c r="H9" s="117"/>
      <c r="I9" s="132"/>
    </row>
    <row r="10" spans="1:9" x14ac:dyDescent="0.2">
      <c r="A10" s="131" t="s">
        <v>59</v>
      </c>
      <c r="B10" s="118">
        <v>1400000</v>
      </c>
      <c r="C10" s="123">
        <v>700000</v>
      </c>
      <c r="D10" s="119">
        <v>700000</v>
      </c>
      <c r="E10" s="117"/>
      <c r="F10" s="120">
        <f>B10-D10</f>
        <v>700000</v>
      </c>
      <c r="G10" s="120"/>
      <c r="H10" s="117"/>
      <c r="I10" s="132"/>
    </row>
    <row r="11" spans="1:9" x14ac:dyDescent="0.2">
      <c r="A11" s="133" t="s">
        <v>60</v>
      </c>
      <c r="B11" s="122">
        <v>1100000</v>
      </c>
      <c r="C11" s="123"/>
      <c r="D11" s="119"/>
      <c r="E11" s="117"/>
      <c r="F11" s="117"/>
      <c r="G11" s="120">
        <f>B11</f>
        <v>1100000</v>
      </c>
      <c r="H11" s="117"/>
      <c r="I11" s="132"/>
    </row>
    <row r="12" spans="1:9" x14ac:dyDescent="0.2">
      <c r="A12" s="131" t="s">
        <v>53</v>
      </c>
      <c r="B12" s="118">
        <v>975000</v>
      </c>
      <c r="C12" s="123">
        <v>450000</v>
      </c>
      <c r="D12" s="119"/>
      <c r="E12" s="117"/>
      <c r="F12" s="120">
        <f>B12-C12</f>
        <v>525000</v>
      </c>
      <c r="G12" s="120">
        <f>B12-C12</f>
        <v>525000</v>
      </c>
      <c r="H12" s="120">
        <f>C12</f>
        <v>450000</v>
      </c>
      <c r="I12" s="132"/>
    </row>
    <row r="13" spans="1:9" x14ac:dyDescent="0.2">
      <c r="A13" s="134" t="s">
        <v>61</v>
      </c>
      <c r="B13" s="124">
        <v>263060</v>
      </c>
      <c r="C13" s="125">
        <v>263060</v>
      </c>
      <c r="D13" s="119"/>
      <c r="E13" s="117"/>
      <c r="F13" s="126"/>
      <c r="G13" s="117"/>
      <c r="H13" s="120">
        <f>B13</f>
        <v>263060</v>
      </c>
      <c r="I13" s="132"/>
    </row>
    <row r="14" spans="1:9" x14ac:dyDescent="0.2">
      <c r="A14" s="134" t="s">
        <v>62</v>
      </c>
      <c r="B14" s="125">
        <f>45000*8</f>
        <v>360000</v>
      </c>
      <c r="C14" s="125"/>
      <c r="D14" s="119"/>
      <c r="E14" s="117"/>
      <c r="F14" s="175">
        <v>360000</v>
      </c>
      <c r="G14" s="120"/>
      <c r="H14" s="117"/>
      <c r="I14" s="132"/>
    </row>
    <row r="15" spans="1:9" x14ac:dyDescent="0.2">
      <c r="A15" s="134" t="s">
        <v>63</v>
      </c>
      <c r="B15" s="125">
        <v>160000</v>
      </c>
      <c r="C15" s="125">
        <v>160000</v>
      </c>
      <c r="D15" s="119"/>
      <c r="E15" s="117"/>
      <c r="F15" s="117"/>
      <c r="G15" s="117"/>
      <c r="H15" s="120">
        <f>B15</f>
        <v>160000</v>
      </c>
      <c r="I15" s="132"/>
    </row>
    <row r="16" spans="1:9" x14ac:dyDescent="0.2">
      <c r="A16" s="134" t="s">
        <v>66</v>
      </c>
      <c r="B16" s="125">
        <v>484782</v>
      </c>
      <c r="C16" s="125">
        <v>484782</v>
      </c>
      <c r="D16" s="119"/>
      <c r="E16" s="117"/>
      <c r="F16" s="117"/>
      <c r="G16" s="117"/>
      <c r="H16" s="120">
        <f>B16</f>
        <v>484782</v>
      </c>
      <c r="I16" s="132"/>
    </row>
    <row r="17" spans="1:9" x14ac:dyDescent="0.2">
      <c r="A17" s="134" t="s">
        <v>64</v>
      </c>
      <c r="B17" s="125">
        <v>1000000</v>
      </c>
      <c r="C17" s="125"/>
      <c r="D17" s="119"/>
      <c r="E17" s="117"/>
      <c r="F17" s="120">
        <f>B17</f>
        <v>1000000</v>
      </c>
      <c r="G17" s="120"/>
      <c r="H17" s="117"/>
      <c r="I17" s="132"/>
    </row>
    <row r="18" spans="1:9" x14ac:dyDescent="0.2">
      <c r="A18" s="134" t="s">
        <v>88</v>
      </c>
      <c r="B18" s="125">
        <v>63000</v>
      </c>
      <c r="C18" s="125">
        <v>63000</v>
      </c>
      <c r="D18" s="119"/>
      <c r="E18" s="117"/>
      <c r="F18" s="117"/>
      <c r="G18" s="117"/>
      <c r="H18" s="120">
        <f>B18</f>
        <v>63000</v>
      </c>
      <c r="I18" s="132"/>
    </row>
    <row r="19" spans="1:9" x14ac:dyDescent="0.2">
      <c r="A19" s="134" t="s">
        <v>89</v>
      </c>
      <c r="B19" s="125">
        <v>200000</v>
      </c>
      <c r="C19" s="125">
        <v>200000</v>
      </c>
      <c r="D19" s="119"/>
      <c r="E19" s="117"/>
      <c r="F19" s="117"/>
      <c r="G19" s="117"/>
      <c r="H19" s="120">
        <f>B19</f>
        <v>200000</v>
      </c>
      <c r="I19" s="132"/>
    </row>
    <row r="20" spans="1:9" ht="25.5" x14ac:dyDescent="0.2">
      <c r="A20" s="134" t="s">
        <v>83</v>
      </c>
      <c r="B20" s="127">
        <v>174000</v>
      </c>
      <c r="C20" s="125"/>
      <c r="D20" s="119"/>
      <c r="E20" s="117"/>
      <c r="F20" s="117"/>
      <c r="G20" s="117"/>
      <c r="H20" s="117"/>
      <c r="I20" s="135">
        <f>B20</f>
        <v>174000</v>
      </c>
    </row>
    <row r="21" spans="1:9" x14ac:dyDescent="0.2">
      <c r="A21" s="134"/>
      <c r="B21" s="125">
        <f>SUM(B6:B20)</f>
        <v>53027842</v>
      </c>
      <c r="C21" s="125"/>
      <c r="D21" s="119"/>
      <c r="E21" s="117"/>
      <c r="F21" s="117"/>
      <c r="G21" s="117"/>
      <c r="H21" s="117"/>
      <c r="I21" s="132"/>
    </row>
    <row r="22" spans="1:9" x14ac:dyDescent="0.2">
      <c r="A22" s="136" t="s">
        <v>25</v>
      </c>
      <c r="B22" s="128">
        <f>[1]Cotización!E69-B21</f>
        <v>9972158</v>
      </c>
      <c r="C22" s="127">
        <f>SUM(C6:C21)</f>
        <v>20320842</v>
      </c>
      <c r="D22" s="119">
        <f>SUM(D7:D21)</f>
        <v>1700000</v>
      </c>
      <c r="E22" s="117"/>
      <c r="F22" s="129">
        <f>SUM(F6:F21)</f>
        <v>3633000</v>
      </c>
      <c r="G22" s="130">
        <f>SUM(G6:G21)</f>
        <v>24925000</v>
      </c>
      <c r="H22" s="119">
        <f>SUM(H6:H21)</f>
        <v>1620842</v>
      </c>
      <c r="I22" s="132"/>
    </row>
    <row r="23" spans="1:9" ht="13.5" thickBot="1" x14ac:dyDescent="0.25">
      <c r="A23" s="137" t="s">
        <v>65</v>
      </c>
      <c r="B23" s="138">
        <f>B22/[1]Cotización!E69</f>
        <v>0.15828822222222222</v>
      </c>
      <c r="C23" s="139"/>
      <c r="D23" s="140"/>
      <c r="E23" s="140"/>
      <c r="F23" s="141">
        <f>D22+F22</f>
        <v>5333000</v>
      </c>
      <c r="G23" s="142"/>
      <c r="H23" s="140"/>
      <c r="I23" s="143"/>
    </row>
    <row r="24" spans="1:9" x14ac:dyDescent="0.2">
      <c r="A24" s="112"/>
      <c r="B24" s="112"/>
      <c r="C24" s="112"/>
      <c r="D24" s="112"/>
      <c r="E24" s="112"/>
      <c r="F24" s="112"/>
    </row>
    <row r="25" spans="1:9" x14ac:dyDescent="0.2">
      <c r="A25" s="112"/>
      <c r="B25" s="112"/>
      <c r="C25" s="112"/>
      <c r="D25" s="112"/>
      <c r="E25" s="112"/>
      <c r="F25" s="112"/>
    </row>
    <row r="26" spans="1:9" ht="15" x14ac:dyDescent="0.25">
      <c r="A26" s="243" t="s">
        <v>139</v>
      </c>
      <c r="B26" s="244"/>
      <c r="C26" s="244"/>
      <c r="D26" s="244"/>
      <c r="E26" s="244"/>
    </row>
    <row r="27" spans="1:9" ht="15" x14ac:dyDescent="0.25">
      <c r="A27" s="191" t="s">
        <v>136</v>
      </c>
      <c r="B27" s="178" t="s">
        <v>130</v>
      </c>
      <c r="C27" s="178" t="s">
        <v>166</v>
      </c>
      <c r="D27" s="178" t="s">
        <v>191</v>
      </c>
      <c r="E27" s="178" t="s">
        <v>168</v>
      </c>
    </row>
    <row r="28" spans="1:9" ht="15" x14ac:dyDescent="0.25">
      <c r="A28" s="176" t="s">
        <v>171</v>
      </c>
      <c r="B28" s="177">
        <v>35000000</v>
      </c>
      <c r="C28" s="171">
        <v>14000000</v>
      </c>
      <c r="D28" s="12">
        <v>3500000</v>
      </c>
      <c r="E28" s="177">
        <f>B28-C28-D28</f>
        <v>17500000</v>
      </c>
    </row>
    <row r="29" spans="1:9" ht="15" x14ac:dyDescent="0.25">
      <c r="A29" s="176" t="s">
        <v>203</v>
      </c>
      <c r="B29" s="177">
        <v>2600000</v>
      </c>
      <c r="C29" s="171">
        <v>0</v>
      </c>
      <c r="D29" s="12">
        <v>500000</v>
      </c>
      <c r="E29" s="177">
        <f t="shared" ref="E29:E40" si="0">B29-C29-D29</f>
        <v>2100000</v>
      </c>
    </row>
    <row r="30" spans="1:9" ht="15" x14ac:dyDescent="0.25">
      <c r="A30" s="176" t="s">
        <v>172</v>
      </c>
      <c r="B30" s="190">
        <v>7700000</v>
      </c>
      <c r="C30" s="12">
        <v>4000000</v>
      </c>
      <c r="D30" s="12"/>
      <c r="E30" s="177">
        <f t="shared" si="0"/>
        <v>3700000</v>
      </c>
    </row>
    <row r="31" spans="1:9" ht="15" x14ac:dyDescent="0.25">
      <c r="A31" s="176" t="s">
        <v>129</v>
      </c>
      <c r="B31" s="177">
        <v>2000000</v>
      </c>
      <c r="C31" s="12"/>
      <c r="D31" s="12">
        <v>2000000</v>
      </c>
      <c r="E31" s="177">
        <f t="shared" si="0"/>
        <v>0</v>
      </c>
    </row>
    <row r="32" spans="1:9" ht="15" x14ac:dyDescent="0.25">
      <c r="A32" s="176" t="s">
        <v>59</v>
      </c>
      <c r="B32" s="177">
        <v>1400000</v>
      </c>
      <c r="C32" s="12">
        <v>700000</v>
      </c>
      <c r="D32" s="12">
        <v>0</v>
      </c>
      <c r="E32" s="177">
        <f t="shared" si="0"/>
        <v>700000</v>
      </c>
    </row>
    <row r="33" spans="1:5" ht="15" x14ac:dyDescent="0.25">
      <c r="A33" s="176" t="s">
        <v>173</v>
      </c>
      <c r="B33" s="177">
        <v>1100000</v>
      </c>
      <c r="C33" s="12">
        <v>0</v>
      </c>
      <c r="D33" s="12">
        <v>700000</v>
      </c>
      <c r="E33" s="177">
        <f t="shared" si="0"/>
        <v>400000</v>
      </c>
    </row>
    <row r="34" spans="1:5" ht="15" x14ac:dyDescent="0.25">
      <c r="A34" s="176" t="s">
        <v>174</v>
      </c>
      <c r="B34" s="177">
        <v>263060</v>
      </c>
      <c r="C34" s="12">
        <v>263060</v>
      </c>
      <c r="D34" s="12"/>
      <c r="E34" s="177">
        <f t="shared" si="0"/>
        <v>0</v>
      </c>
    </row>
    <row r="35" spans="1:5" ht="15" x14ac:dyDescent="0.25">
      <c r="A35" s="176" t="s">
        <v>175</v>
      </c>
      <c r="B35" s="177">
        <v>63000</v>
      </c>
      <c r="C35" s="12">
        <v>63000</v>
      </c>
      <c r="D35" s="12"/>
      <c r="E35" s="177">
        <f t="shared" si="0"/>
        <v>0</v>
      </c>
    </row>
    <row r="36" spans="1:5" ht="15" x14ac:dyDescent="0.25">
      <c r="A36" s="176" t="s">
        <v>176</v>
      </c>
      <c r="B36" s="177">
        <v>200000</v>
      </c>
      <c r="C36" s="12">
        <v>200000</v>
      </c>
      <c r="D36" s="12">
        <v>0</v>
      </c>
      <c r="E36" s="177">
        <f t="shared" si="0"/>
        <v>0</v>
      </c>
    </row>
    <row r="37" spans="1:5" ht="30" customHeight="1" x14ac:dyDescent="0.25">
      <c r="A37" s="194" t="s">
        <v>177</v>
      </c>
      <c r="B37" s="177">
        <v>174000</v>
      </c>
      <c r="C37" s="12">
        <v>174000</v>
      </c>
      <c r="D37" s="12">
        <v>0</v>
      </c>
      <c r="E37" s="177">
        <f t="shared" si="0"/>
        <v>0</v>
      </c>
    </row>
    <row r="38" spans="1:5" ht="15" x14ac:dyDescent="0.25">
      <c r="A38" s="176" t="s">
        <v>178</v>
      </c>
      <c r="B38" s="177">
        <v>360000</v>
      </c>
      <c r="C38" s="12"/>
      <c r="D38" s="12">
        <v>360000</v>
      </c>
      <c r="E38" s="177">
        <f t="shared" si="0"/>
        <v>0</v>
      </c>
    </row>
    <row r="39" spans="1:5" ht="15" x14ac:dyDescent="0.25">
      <c r="A39" s="176" t="s">
        <v>179</v>
      </c>
      <c r="B39" s="171">
        <v>160000</v>
      </c>
      <c r="C39" s="12">
        <v>160000</v>
      </c>
      <c r="D39" s="12"/>
      <c r="E39" s="12">
        <f t="shared" si="0"/>
        <v>0</v>
      </c>
    </row>
    <row r="40" spans="1:5" ht="15" x14ac:dyDescent="0.25">
      <c r="A40" s="176" t="s">
        <v>180</v>
      </c>
      <c r="B40" s="171">
        <v>484782</v>
      </c>
      <c r="C40" s="12">
        <v>484782</v>
      </c>
      <c r="D40" s="12"/>
      <c r="E40" s="12">
        <f t="shared" si="0"/>
        <v>0</v>
      </c>
    </row>
    <row r="41" spans="1:5" ht="15" x14ac:dyDescent="0.25">
      <c r="A41" s="176" t="s">
        <v>184</v>
      </c>
      <c r="B41" s="171">
        <v>223916</v>
      </c>
      <c r="C41" s="12">
        <v>223916</v>
      </c>
      <c r="D41" s="12">
        <v>0</v>
      </c>
      <c r="E41" s="12"/>
    </row>
    <row r="42" spans="1:5" ht="15" x14ac:dyDescent="0.25">
      <c r="A42" s="176" t="s">
        <v>167</v>
      </c>
      <c r="B42" s="171">
        <v>1000000</v>
      </c>
      <c r="C42" s="12"/>
      <c r="D42" s="12">
        <v>0</v>
      </c>
      <c r="E42" s="12"/>
    </row>
    <row r="43" spans="1:5" ht="15" x14ac:dyDescent="0.25">
      <c r="A43" s="181" t="s">
        <v>182</v>
      </c>
      <c r="B43" s="182">
        <f>SUM(B28:B42)</f>
        <v>52728758</v>
      </c>
      <c r="C43" s="193">
        <f>SUM(C28:C41)</f>
        <v>20268758</v>
      </c>
      <c r="D43" s="193">
        <f>SUM(D28:D42)</f>
        <v>7060000</v>
      </c>
      <c r="E43" s="192">
        <f>SUM(E28:E42)</f>
        <v>24400000</v>
      </c>
    </row>
  </sheetData>
  <mergeCells count="1">
    <mergeCell ref="A26:E26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FBE56-3576-4BCF-B7F0-40706CBCAF3D}">
  <dimension ref="A2:E13"/>
  <sheetViews>
    <sheetView workbookViewId="0">
      <selection activeCell="E11" sqref="E11"/>
    </sheetView>
  </sheetViews>
  <sheetFormatPr baseColWidth="10" defaultRowHeight="15" x14ac:dyDescent="0.25"/>
  <cols>
    <col min="1" max="1" width="32.5703125" customWidth="1"/>
    <col min="2" max="2" width="19.85546875" customWidth="1"/>
    <col min="3" max="3" width="21.7109375" customWidth="1"/>
    <col min="4" max="4" width="26" customWidth="1"/>
    <col min="5" max="5" width="29" customWidth="1"/>
  </cols>
  <sheetData>
    <row r="2" spans="1:5" x14ac:dyDescent="0.25">
      <c r="A2" t="s">
        <v>95</v>
      </c>
      <c r="B2" s="164">
        <v>17085000</v>
      </c>
      <c r="C2" s="162"/>
    </row>
    <row r="3" spans="1:5" x14ac:dyDescent="0.25">
      <c r="A3" t="s">
        <v>98</v>
      </c>
      <c r="B3" s="164">
        <v>0</v>
      </c>
      <c r="C3" s="162" t="s">
        <v>81</v>
      </c>
    </row>
    <row r="4" spans="1:5" x14ac:dyDescent="0.25">
      <c r="A4" t="s">
        <v>96</v>
      </c>
      <c r="B4" s="163">
        <v>6385000</v>
      </c>
      <c r="C4" s="165">
        <v>3750000</v>
      </c>
    </row>
    <row r="5" spans="1:5" x14ac:dyDescent="0.25">
      <c r="A5" t="s">
        <v>99</v>
      </c>
      <c r="B5" s="163">
        <v>7500000</v>
      </c>
      <c r="C5" s="166">
        <f>B5*50%</f>
        <v>3750000</v>
      </c>
    </row>
    <row r="6" spans="1:5" x14ac:dyDescent="0.25">
      <c r="A6" t="s">
        <v>97</v>
      </c>
      <c r="B6" s="163">
        <v>3200000</v>
      </c>
      <c r="C6" s="166">
        <f>B6*50%</f>
        <v>1600000</v>
      </c>
    </row>
    <row r="7" spans="1:5" x14ac:dyDescent="0.25">
      <c r="B7" s="163"/>
    </row>
    <row r="8" spans="1:5" x14ac:dyDescent="0.25">
      <c r="A8" s="191" t="s">
        <v>136</v>
      </c>
      <c r="B8" s="178" t="s">
        <v>130</v>
      </c>
      <c r="C8" s="178" t="s">
        <v>166</v>
      </c>
      <c r="D8" s="178" t="s">
        <v>191</v>
      </c>
      <c r="E8" s="178" t="s">
        <v>168</v>
      </c>
    </row>
    <row r="9" spans="1:5" x14ac:dyDescent="0.25">
      <c r="A9" s="176" t="s">
        <v>169</v>
      </c>
      <c r="B9" s="177">
        <v>5360000</v>
      </c>
      <c r="C9" s="171">
        <v>3500000</v>
      </c>
      <c r="D9" s="12"/>
      <c r="E9" s="177">
        <f>B9-C9-D9</f>
        <v>1860000</v>
      </c>
    </row>
    <row r="10" spans="1:5" x14ac:dyDescent="0.25">
      <c r="A10" s="176" t="s">
        <v>192</v>
      </c>
      <c r="B10" s="177">
        <v>575000</v>
      </c>
      <c r="C10" s="171"/>
      <c r="D10" s="12">
        <v>575000</v>
      </c>
      <c r="E10" s="177">
        <f t="shared" ref="E10" si="0">B10-C10-D10</f>
        <v>0</v>
      </c>
    </row>
    <row r="11" spans="1:5" x14ac:dyDescent="0.25">
      <c r="A11" s="176" t="s">
        <v>160</v>
      </c>
      <c r="B11" s="177">
        <v>1700000</v>
      </c>
      <c r="C11" s="171">
        <v>750000</v>
      </c>
      <c r="D11" s="12">
        <v>950000</v>
      </c>
      <c r="E11" s="177">
        <f t="shared" ref="E11:E12" si="1">B11-C11-D11</f>
        <v>0</v>
      </c>
    </row>
    <row r="12" spans="1:5" x14ac:dyDescent="0.25">
      <c r="A12" s="176" t="s">
        <v>170</v>
      </c>
      <c r="B12" s="190">
        <v>5000000</v>
      </c>
      <c r="C12" s="12">
        <v>0</v>
      </c>
      <c r="D12" s="12">
        <v>5000000</v>
      </c>
      <c r="E12" s="177">
        <f t="shared" si="1"/>
        <v>0</v>
      </c>
    </row>
    <row r="13" spans="1:5" x14ac:dyDescent="0.25">
      <c r="A13" s="181" t="s">
        <v>130</v>
      </c>
      <c r="B13" s="182">
        <f>SUM(B9:B12)</f>
        <v>12635000</v>
      </c>
      <c r="C13" s="193">
        <f>SUM(C9:C12)</f>
        <v>4250000</v>
      </c>
      <c r="D13" s="193">
        <f>SUM(D9:D12)</f>
        <v>6525000</v>
      </c>
      <c r="E13" s="192">
        <f>SUM(E9:E12)</f>
        <v>1860000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AE8CE-DFC1-4BA7-8F9C-4626497B9F72}">
  <dimension ref="A2:I20"/>
  <sheetViews>
    <sheetView topLeftCell="A3" workbookViewId="0">
      <selection activeCell="H11" sqref="H11"/>
    </sheetView>
  </sheetViews>
  <sheetFormatPr baseColWidth="10" defaultRowHeight="15" x14ac:dyDescent="0.25"/>
  <cols>
    <col min="1" max="1" width="32.85546875" customWidth="1"/>
    <col min="2" max="2" width="16.28515625" customWidth="1"/>
    <col min="3" max="3" width="24.42578125" customWidth="1"/>
    <col min="4" max="5" width="30" customWidth="1"/>
    <col min="6" max="6" width="28.140625" customWidth="1"/>
    <col min="8" max="8" width="13" bestFit="1" customWidth="1"/>
    <col min="9" max="9" width="20" customWidth="1"/>
  </cols>
  <sheetData>
    <row r="2" spans="1:9" x14ac:dyDescent="0.25">
      <c r="A2" s="243" t="s">
        <v>139</v>
      </c>
      <c r="B2" s="244"/>
      <c r="C2" s="244"/>
      <c r="D2" s="244"/>
      <c r="E2" s="244"/>
      <c r="F2" s="244"/>
    </row>
    <row r="3" spans="1:9" x14ac:dyDescent="0.25">
      <c r="A3" s="191" t="s">
        <v>136</v>
      </c>
      <c r="B3" s="178" t="s">
        <v>130</v>
      </c>
      <c r="C3" s="178" t="s">
        <v>166</v>
      </c>
      <c r="D3" s="178" t="s">
        <v>191</v>
      </c>
      <c r="E3" s="191" t="s">
        <v>204</v>
      </c>
      <c r="F3" s="178" t="s">
        <v>168</v>
      </c>
    </row>
    <row r="4" spans="1:9" x14ac:dyDescent="0.25">
      <c r="A4" s="176" t="s">
        <v>163</v>
      </c>
      <c r="B4" s="177">
        <v>150000</v>
      </c>
      <c r="C4" s="171">
        <v>150000</v>
      </c>
      <c r="D4" s="12"/>
      <c r="E4" s="12"/>
      <c r="F4" s="177">
        <f>B4-C4-D4</f>
        <v>0</v>
      </c>
    </row>
    <row r="5" spans="1:9" x14ac:dyDescent="0.25">
      <c r="A5" s="176" t="s">
        <v>162</v>
      </c>
      <c r="B5" s="177">
        <v>550000</v>
      </c>
      <c r="C5" s="171">
        <v>550000</v>
      </c>
      <c r="D5" s="12"/>
      <c r="E5" s="12"/>
      <c r="F5" s="177">
        <f t="shared" ref="F5:F19" si="0">B5-C5-D5</f>
        <v>0</v>
      </c>
      <c r="G5" s="258"/>
      <c r="H5" s="258"/>
      <c r="I5" s="258"/>
    </row>
    <row r="6" spans="1:9" x14ac:dyDescent="0.25">
      <c r="A6" s="176" t="s">
        <v>0</v>
      </c>
      <c r="B6" s="190">
        <v>21208985</v>
      </c>
      <c r="C6" s="12">
        <v>9985000</v>
      </c>
      <c r="D6" s="12"/>
      <c r="E6" s="12"/>
      <c r="F6" s="177">
        <f>B6-C6-D6-E6</f>
        <v>11223985</v>
      </c>
      <c r="G6" s="258"/>
      <c r="H6" s="259"/>
      <c r="I6" s="260"/>
    </row>
    <row r="7" spans="1:9" x14ac:dyDescent="0.25">
      <c r="A7" s="176" t="s">
        <v>10</v>
      </c>
      <c r="B7" s="177">
        <v>3576600</v>
      </c>
      <c r="C7" s="12"/>
      <c r="D7" s="12"/>
      <c r="E7" s="12">
        <v>3576600</v>
      </c>
      <c r="F7" s="177">
        <f t="shared" ref="F7:F19" si="1">B7-C7-D7-E7</f>
        <v>0</v>
      </c>
      <c r="G7" s="258"/>
      <c r="H7" s="260"/>
      <c r="I7" s="260"/>
    </row>
    <row r="8" spans="1:9" x14ac:dyDescent="0.25">
      <c r="A8" s="255" t="s">
        <v>74</v>
      </c>
      <c r="B8" s="256">
        <v>2529999</v>
      </c>
      <c r="C8" s="254">
        <v>3300000</v>
      </c>
      <c r="D8" s="254" t="s">
        <v>202</v>
      </c>
      <c r="E8" s="254"/>
      <c r="F8" s="177"/>
      <c r="G8" s="258"/>
      <c r="H8" s="260"/>
      <c r="I8" s="260"/>
    </row>
    <row r="9" spans="1:9" x14ac:dyDescent="0.25">
      <c r="A9" s="176" t="s">
        <v>131</v>
      </c>
      <c r="B9" s="177">
        <v>975000</v>
      </c>
      <c r="C9" s="12">
        <v>450000</v>
      </c>
      <c r="D9" s="225">
        <v>525000</v>
      </c>
      <c r="E9" s="225"/>
      <c r="F9" s="177">
        <f t="shared" si="1"/>
        <v>0</v>
      </c>
      <c r="G9" s="258"/>
      <c r="H9" s="260"/>
      <c r="I9" s="261"/>
    </row>
    <row r="10" spans="1:9" x14ac:dyDescent="0.25">
      <c r="A10" s="176" t="s">
        <v>132</v>
      </c>
      <c r="B10" s="177">
        <v>235000</v>
      </c>
      <c r="C10" s="12">
        <v>50000</v>
      </c>
      <c r="D10" s="225">
        <v>185000</v>
      </c>
      <c r="E10" s="225"/>
      <c r="F10" s="177">
        <f t="shared" si="1"/>
        <v>0</v>
      </c>
      <c r="G10" s="258"/>
      <c r="H10" s="260"/>
      <c r="I10" s="262"/>
    </row>
    <row r="11" spans="1:9" x14ac:dyDescent="0.25">
      <c r="A11" s="176" t="s">
        <v>165</v>
      </c>
      <c r="B11" s="177">
        <v>175000</v>
      </c>
      <c r="C11" s="12">
        <v>175000</v>
      </c>
      <c r="D11" s="12"/>
      <c r="E11" s="12"/>
      <c r="F11" s="177">
        <f t="shared" si="1"/>
        <v>0</v>
      </c>
      <c r="G11" s="258"/>
      <c r="H11" s="260"/>
      <c r="I11" s="262"/>
    </row>
    <row r="12" spans="1:9" x14ac:dyDescent="0.25">
      <c r="A12" s="176" t="s">
        <v>167</v>
      </c>
      <c r="B12" s="177">
        <v>0</v>
      </c>
      <c r="C12" s="12"/>
      <c r="D12" s="12">
        <v>0</v>
      </c>
      <c r="E12" s="12"/>
      <c r="F12" s="177">
        <f t="shared" si="1"/>
        <v>0</v>
      </c>
      <c r="G12" s="258"/>
      <c r="H12" s="260"/>
      <c r="I12" s="260"/>
    </row>
    <row r="13" spans="1:9" x14ac:dyDescent="0.25">
      <c r="A13" s="176" t="s">
        <v>134</v>
      </c>
      <c r="B13" s="177">
        <v>1400000</v>
      </c>
      <c r="C13" s="12"/>
      <c r="D13" s="225">
        <v>1400000</v>
      </c>
      <c r="E13" s="225"/>
      <c r="F13" s="177">
        <f t="shared" si="1"/>
        <v>0</v>
      </c>
      <c r="H13" s="263"/>
      <c r="I13" s="263"/>
    </row>
    <row r="14" spans="1:9" x14ac:dyDescent="0.25">
      <c r="A14" s="257" t="s">
        <v>137</v>
      </c>
      <c r="B14" s="177">
        <v>700000</v>
      </c>
      <c r="C14" s="12"/>
      <c r="D14" s="225">
        <v>700000</v>
      </c>
      <c r="E14" s="225"/>
      <c r="F14" s="177">
        <f t="shared" si="1"/>
        <v>0</v>
      </c>
      <c r="H14" s="263"/>
      <c r="I14" s="263"/>
    </row>
    <row r="15" spans="1:9" x14ac:dyDescent="0.25">
      <c r="A15" s="176" t="s">
        <v>186</v>
      </c>
      <c r="B15" s="177">
        <v>174000</v>
      </c>
      <c r="C15" s="12">
        <v>174000</v>
      </c>
      <c r="D15" s="12"/>
      <c r="E15" s="12"/>
      <c r="F15" s="177">
        <f t="shared" si="1"/>
        <v>0</v>
      </c>
      <c r="H15" s="263"/>
      <c r="I15" s="263"/>
    </row>
    <row r="16" spans="1:9" x14ac:dyDescent="0.25">
      <c r="A16" s="176" t="s">
        <v>185</v>
      </c>
      <c r="B16" s="177">
        <v>319338</v>
      </c>
      <c r="C16" s="12">
        <v>219338</v>
      </c>
      <c r="D16" s="225">
        <v>100000</v>
      </c>
      <c r="E16" s="225"/>
      <c r="F16" s="177">
        <f t="shared" si="1"/>
        <v>0</v>
      </c>
      <c r="H16" s="263"/>
      <c r="I16" s="263"/>
    </row>
    <row r="17" spans="1:6" x14ac:dyDescent="0.25">
      <c r="A17" s="176" t="s">
        <v>187</v>
      </c>
      <c r="B17" s="177">
        <v>96000</v>
      </c>
      <c r="C17" s="12">
        <v>96000</v>
      </c>
      <c r="D17" s="12"/>
      <c r="E17" s="12"/>
      <c r="F17" s="177">
        <f t="shared" si="1"/>
        <v>0</v>
      </c>
    </row>
    <row r="18" spans="1:6" x14ac:dyDescent="0.25">
      <c r="A18" s="176" t="s">
        <v>181</v>
      </c>
      <c r="B18" s="177">
        <v>540264</v>
      </c>
      <c r="C18" s="12">
        <v>540264</v>
      </c>
      <c r="D18" s="12"/>
      <c r="E18" s="12"/>
      <c r="F18" s="177">
        <f t="shared" si="1"/>
        <v>0</v>
      </c>
    </row>
    <row r="19" spans="1:6" x14ac:dyDescent="0.25">
      <c r="A19" s="176" t="s">
        <v>135</v>
      </c>
      <c r="B19" s="177">
        <f>Bebidas!C42</f>
        <v>5000000</v>
      </c>
      <c r="C19" s="12">
        <v>5000000</v>
      </c>
      <c r="D19" s="12"/>
      <c r="E19" s="12"/>
      <c r="F19" s="177">
        <f t="shared" si="1"/>
        <v>0</v>
      </c>
    </row>
    <row r="20" spans="1:6" x14ac:dyDescent="0.25">
      <c r="A20" s="181" t="s">
        <v>130</v>
      </c>
      <c r="B20" s="182">
        <f>SUM(B4:B19)</f>
        <v>37630186</v>
      </c>
      <c r="C20" s="226">
        <f>SUM(C4:C19)</f>
        <v>20689602</v>
      </c>
      <c r="D20" s="226">
        <f>SUM(D4:D19)</f>
        <v>2910000</v>
      </c>
      <c r="E20" s="226"/>
      <c r="F20" s="192">
        <f>SUM(F4:F19)</f>
        <v>11223985</v>
      </c>
    </row>
  </sheetData>
  <mergeCells count="1">
    <mergeCell ref="A2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05036-0ED7-48D6-89D0-0DCE74027AAE}">
  <dimension ref="A1:H44"/>
  <sheetViews>
    <sheetView topLeftCell="B1" workbookViewId="0">
      <selection activeCell="E40" sqref="E40"/>
    </sheetView>
  </sheetViews>
  <sheetFormatPr baseColWidth="10" defaultRowHeight="15" x14ac:dyDescent="0.25"/>
  <cols>
    <col min="1" max="1" width="0" hidden="1" customWidth="1"/>
    <col min="2" max="2" width="32.28515625" customWidth="1"/>
    <col min="3" max="3" width="16.5703125" customWidth="1"/>
    <col min="4" max="4" width="25.140625" customWidth="1"/>
    <col min="5" max="5" width="26.140625" customWidth="1"/>
    <col min="6" max="6" width="31.7109375" customWidth="1"/>
    <col min="7" max="7" width="25.5703125" customWidth="1"/>
  </cols>
  <sheetData>
    <row r="1" spans="1:8" x14ac:dyDescent="0.25">
      <c r="A1" s="195"/>
      <c r="B1" s="207" t="str">
        <f>B4</f>
        <v>CONCEPTO</v>
      </c>
      <c r="C1" s="208" t="str">
        <f>C4</f>
        <v>TOTAL</v>
      </c>
      <c r="D1" s="213" t="str">
        <f>D4</f>
        <v>Pagado Corte 30 Sept</v>
      </c>
      <c r="E1" s="210" t="str">
        <f>E4</f>
        <v>Pagado día del evento</v>
      </c>
      <c r="F1" s="214" t="str">
        <f>F4</f>
        <v>Pte pagar DESPUES del evento</v>
      </c>
      <c r="G1" s="217" t="s">
        <v>188</v>
      </c>
      <c r="H1" s="219" t="s">
        <v>190</v>
      </c>
    </row>
    <row r="2" spans="1:8" ht="15.75" thickBot="1" x14ac:dyDescent="0.3">
      <c r="A2" s="196"/>
      <c r="B2" s="205" t="s">
        <v>183</v>
      </c>
      <c r="C2" s="206">
        <f>C20+C25+C44</f>
        <v>95358944</v>
      </c>
      <c r="D2" s="209">
        <f>D20+D25+D44</f>
        <v>40958360</v>
      </c>
      <c r="E2" s="211">
        <f>E20+E25+E44</f>
        <v>14970000</v>
      </c>
      <c r="F2" s="212">
        <f>F20+F25+F44</f>
        <v>24400000</v>
      </c>
      <c r="G2" s="218">
        <f>C2-D2-E2-F2</f>
        <v>15030584</v>
      </c>
      <c r="H2" s="219" t="s">
        <v>189</v>
      </c>
    </row>
    <row r="3" spans="1:8" ht="15.75" thickBot="1" x14ac:dyDescent="0.3">
      <c r="A3" s="196"/>
      <c r="B3" s="196"/>
      <c r="F3" s="197"/>
    </row>
    <row r="4" spans="1:8" ht="15.75" thickBot="1" x14ac:dyDescent="0.3">
      <c r="A4" s="196"/>
      <c r="B4" s="200" t="str" cm="1">
        <f t="array" ref="B4:F20">'Cuentas Produccion'!A27:E43</f>
        <v>CONCEPTO</v>
      </c>
      <c r="C4" s="201" t="str">
        <v>TOTAL</v>
      </c>
      <c r="D4" s="201" t="str">
        <v>Pagado Corte 30 Sept</v>
      </c>
      <c r="E4" s="201" t="str">
        <v>Pagado día del evento</v>
      </c>
      <c r="F4" s="202" t="str">
        <v>Pte pagar DESPUES del evento</v>
      </c>
    </row>
    <row r="5" spans="1:8" x14ac:dyDescent="0.25">
      <c r="A5" s="196"/>
      <c r="B5" s="196" t="str">
        <v>RV PRODUCCION</v>
      </c>
      <c r="C5" s="7">
        <v>35000000</v>
      </c>
      <c r="D5" s="7">
        <v>14000000</v>
      </c>
      <c r="E5" s="220">
        <v>3500000</v>
      </c>
      <c r="F5" s="198">
        <v>17500000</v>
      </c>
    </row>
    <row r="6" spans="1:8" x14ac:dyDescent="0.25">
      <c r="A6" s="196"/>
      <c r="B6" s="196" t="str">
        <v>OMAR CHAVEZ + Franklin</v>
      </c>
      <c r="C6" s="7">
        <v>2600000</v>
      </c>
      <c r="D6" s="7">
        <v>0</v>
      </c>
      <c r="E6" s="7">
        <v>500000</v>
      </c>
      <c r="F6" s="198">
        <v>2100000</v>
      </c>
    </row>
    <row r="7" spans="1:8" x14ac:dyDescent="0.25">
      <c r="A7" s="196"/>
      <c r="B7" s="196" t="str">
        <v>ABA CARPAS</v>
      </c>
      <c r="C7" s="7">
        <v>7700000</v>
      </c>
      <c r="D7" s="7">
        <v>4000000</v>
      </c>
      <c r="E7" s="7">
        <v>0</v>
      </c>
      <c r="F7" s="198">
        <v>3700000</v>
      </c>
    </row>
    <row r="8" spans="1:8" x14ac:dyDescent="0.25">
      <c r="A8" s="196"/>
      <c r="B8" s="196" t="str">
        <v>INFLABLES</v>
      </c>
      <c r="C8" s="7">
        <v>2000000</v>
      </c>
      <c r="D8" s="7">
        <v>0</v>
      </c>
      <c r="E8" s="220">
        <v>2000000</v>
      </c>
      <c r="F8" s="198">
        <v>0</v>
      </c>
    </row>
    <row r="9" spans="1:8" x14ac:dyDescent="0.25">
      <c r="A9" s="196"/>
      <c r="B9" s="196" t="str">
        <v>TV+PS5</v>
      </c>
      <c r="C9" s="7">
        <v>1400000</v>
      </c>
      <c r="D9" s="7">
        <v>700000</v>
      </c>
      <c r="E9" s="221">
        <v>0</v>
      </c>
      <c r="F9" s="198">
        <v>700000</v>
      </c>
    </row>
    <row r="10" spans="1:8" x14ac:dyDescent="0.25">
      <c r="A10" s="196"/>
      <c r="B10" s="196" t="str">
        <v>FOTOGRAFIAS RICARDO</v>
      </c>
      <c r="C10" s="7">
        <v>1100000</v>
      </c>
      <c r="D10" s="7">
        <v>0</v>
      </c>
      <c r="E10" s="7">
        <v>700000</v>
      </c>
      <c r="F10" s="198">
        <v>400000</v>
      </c>
    </row>
    <row r="11" spans="1:8" x14ac:dyDescent="0.25">
      <c r="A11" s="196"/>
      <c r="B11" s="196" t="str">
        <v>REFLECTORES</v>
      </c>
      <c r="C11" s="7">
        <v>263060</v>
      </c>
      <c r="D11" s="7">
        <v>263060</v>
      </c>
      <c r="E11" s="7">
        <v>0</v>
      </c>
      <c r="F11" s="198">
        <v>0</v>
      </c>
    </row>
    <row r="12" spans="1:8" x14ac:dyDescent="0.25">
      <c r="A12" s="196"/>
      <c r="B12" s="196" t="str">
        <v>CLAVIJAS REFLECTORES</v>
      </c>
      <c r="C12" s="7">
        <v>63000</v>
      </c>
      <c r="D12" s="7">
        <v>63000</v>
      </c>
      <c r="E12" s="7">
        <v>0</v>
      </c>
      <c r="F12" s="198">
        <v>0</v>
      </c>
    </row>
    <row r="13" spans="1:8" x14ac:dyDescent="0.25">
      <c r="A13" s="196"/>
      <c r="B13" s="196" t="str">
        <v>40 MTS DE CABLE 2X16</v>
      </c>
      <c r="C13" s="7">
        <v>200000</v>
      </c>
      <c r="D13" s="7">
        <v>200000</v>
      </c>
      <c r="E13" s="7">
        <v>0</v>
      </c>
      <c r="F13" s="198">
        <v>0</v>
      </c>
    </row>
    <row r="14" spans="1:8" x14ac:dyDescent="0.25">
      <c r="A14" s="196"/>
      <c r="B14" s="196" t="str">
        <v>CAMISETA POLO BLANCA Y CAMISA AZUL</v>
      </c>
      <c r="C14" s="7">
        <v>174000</v>
      </c>
      <c r="D14" s="7">
        <v>174000</v>
      </c>
      <c r="E14" s="7">
        <v>0</v>
      </c>
      <c r="F14" s="198">
        <v>0</v>
      </c>
    </row>
    <row r="15" spans="1:8" x14ac:dyDescent="0.25">
      <c r="A15" s="196"/>
      <c r="B15" s="196" t="str">
        <v>ALIMENTACIÓN</v>
      </c>
      <c r="C15" s="7">
        <v>360000</v>
      </c>
      <c r="D15" s="7">
        <v>0</v>
      </c>
      <c r="E15" s="220">
        <v>360000</v>
      </c>
      <c r="F15" s="198">
        <v>0</v>
      </c>
    </row>
    <row r="16" spans="1:8" x14ac:dyDescent="0.25">
      <c r="A16" s="196"/>
      <c r="B16" s="196" t="str">
        <v>RADIOS DE COMUNICACIÓN</v>
      </c>
      <c r="C16" s="7">
        <v>160000</v>
      </c>
      <c r="D16" s="7">
        <v>160000</v>
      </c>
      <c r="E16" s="7">
        <v>0</v>
      </c>
      <c r="F16" s="198">
        <v>0</v>
      </c>
    </row>
    <row r="17" spans="1:7" x14ac:dyDescent="0.25">
      <c r="A17" s="196"/>
      <c r="B17" s="196" t="str">
        <v>LUZ DE FERIA</v>
      </c>
      <c r="C17" s="7">
        <v>484782</v>
      </c>
      <c r="D17" s="7">
        <v>484782</v>
      </c>
      <c r="E17" s="7">
        <v>0</v>
      </c>
      <c r="F17" s="198">
        <v>0</v>
      </c>
    </row>
    <row r="18" spans="1:7" x14ac:dyDescent="0.25">
      <c r="A18" s="196"/>
      <c r="B18" s="196" t="str">
        <v>COMBUSTIBLE 07 SEPT</v>
      </c>
      <c r="C18" s="7">
        <v>223916</v>
      </c>
      <c r="D18" s="7">
        <v>223916</v>
      </c>
      <c r="E18" s="7">
        <v>0</v>
      </c>
      <c r="F18" s="198">
        <v>0</v>
      </c>
    </row>
    <row r="19" spans="1:7" ht="15.75" thickBot="1" x14ac:dyDescent="0.3">
      <c r="A19" s="196"/>
      <c r="B19" t="str">
        <v>IMPREVISTOS</v>
      </c>
      <c r="C19" s="215">
        <v>1000000</v>
      </c>
      <c r="D19" s="215">
        <v>0</v>
      </c>
      <c r="E19" s="215">
        <v>0</v>
      </c>
      <c r="F19" s="216">
        <v>0</v>
      </c>
    </row>
    <row r="20" spans="1:7" ht="15.75" thickBot="1" x14ac:dyDescent="0.3">
      <c r="A20" s="196"/>
      <c r="B20" s="200" t="str">
        <v>TOTAL PRODUCCIÓN</v>
      </c>
      <c r="C20" s="203">
        <v>52728758</v>
      </c>
      <c r="D20" s="222">
        <v>20268758</v>
      </c>
      <c r="E20" s="222">
        <v>7060000</v>
      </c>
      <c r="F20" s="204">
        <v>24400000</v>
      </c>
    </row>
    <row r="21" spans="1:7" ht="15.75" thickBot="1" x14ac:dyDescent="0.3">
      <c r="A21" s="196"/>
      <c r="B21" s="200" t="str" cm="1">
        <f t="array" ref="B21:F26">'Cuentas Adicionales'!A8:E13</f>
        <v>CONCEPTO</v>
      </c>
      <c r="C21" s="201" t="str">
        <v>TOTAL</v>
      </c>
      <c r="D21" s="201" t="str">
        <v>Pagado Corte 30 Sept</v>
      </c>
      <c r="E21" s="201" t="str">
        <v>Pagado día del evento</v>
      </c>
      <c r="F21" s="202" t="str">
        <v>Pte pagar DESPUES del evento</v>
      </c>
    </row>
    <row r="22" spans="1:7" x14ac:dyDescent="0.25">
      <c r="A22" s="196"/>
      <c r="B22" s="196" t="str">
        <v>DECORFIESTA</v>
      </c>
      <c r="C22" s="7">
        <v>5360000</v>
      </c>
      <c r="D22" s="7">
        <v>3500000</v>
      </c>
      <c r="E22" s="7">
        <v>0</v>
      </c>
      <c r="F22" s="198">
        <v>1860000</v>
      </c>
    </row>
    <row r="23" spans="1:7" x14ac:dyDescent="0.25">
      <c r="A23" s="196"/>
      <c r="B23" s="196" t="str">
        <v>JAVIER SILLAS</v>
      </c>
      <c r="C23" s="7">
        <v>575000</v>
      </c>
      <c r="D23" s="7">
        <v>0</v>
      </c>
      <c r="E23" s="220">
        <v>575000</v>
      </c>
      <c r="F23" s="198">
        <v>0</v>
      </c>
    </row>
    <row r="24" spans="1:7" x14ac:dyDescent="0.25">
      <c r="A24" s="196"/>
      <c r="B24" s="196" t="str">
        <v>BINGO ELECTRONICO</v>
      </c>
      <c r="C24" s="7">
        <v>1700000</v>
      </c>
      <c r="D24" s="7">
        <v>750000</v>
      </c>
      <c r="E24" s="220">
        <v>950000</v>
      </c>
      <c r="F24" s="198">
        <v>0</v>
      </c>
    </row>
    <row r="25" spans="1:7" x14ac:dyDescent="0.25">
      <c r="A25" s="196"/>
      <c r="B25" t="str">
        <v>ARTISTA FABIO HERRERA</v>
      </c>
      <c r="C25" s="215">
        <v>5000000</v>
      </c>
      <c r="D25" s="215">
        <v>0</v>
      </c>
      <c r="E25" s="223">
        <v>5000000</v>
      </c>
      <c r="F25" s="215">
        <v>0</v>
      </c>
    </row>
    <row r="26" spans="1:7" ht="15.75" thickBot="1" x14ac:dyDescent="0.3">
      <c r="A26" s="196"/>
      <c r="B26" s="196" t="str">
        <v>TOTAL</v>
      </c>
      <c r="C26" s="3">
        <v>12635000</v>
      </c>
      <c r="D26" s="224">
        <v>4250000</v>
      </c>
      <c r="E26" s="224">
        <v>6525000</v>
      </c>
      <c r="F26" s="198">
        <v>1860000</v>
      </c>
    </row>
    <row r="27" spans="1:7" ht="15.75" thickBot="1" x14ac:dyDescent="0.3">
      <c r="A27" s="196"/>
      <c r="B27" s="200" t="str" cm="1">
        <f t="array" ref="B27:G44">'Cuentas Bebidas'!A3:F20</f>
        <v>CONCEPTO</v>
      </c>
      <c r="C27" s="201" t="str">
        <v>TOTAL</v>
      </c>
      <c r="D27" s="201" t="str">
        <v>Pagado Corte 30 Sept</v>
      </c>
      <c r="E27" s="201" t="str">
        <v>Pagado día del evento</v>
      </c>
      <c r="F27" s="202" t="str">
        <v>Pagado</v>
      </c>
      <c r="G27" t="str">
        <v>Pte pagar DESPUES del evento</v>
      </c>
    </row>
    <row r="28" spans="1:7" x14ac:dyDescent="0.25">
      <c r="A28" s="196"/>
      <c r="B28" s="196" t="str">
        <v>COMPRA RADIOS</v>
      </c>
      <c r="C28" s="7">
        <v>150000</v>
      </c>
      <c r="D28" s="7">
        <v>150000</v>
      </c>
      <c r="E28" s="7">
        <v>0</v>
      </c>
      <c r="F28" s="198">
        <v>0</v>
      </c>
      <c r="G28">
        <v>0</v>
      </c>
    </row>
    <row r="29" spans="1:7" x14ac:dyDescent="0.25">
      <c r="A29" s="196"/>
      <c r="B29" s="196" t="str">
        <v>PRESTAMO FRANCISCO</v>
      </c>
      <c r="C29" s="7">
        <v>550000</v>
      </c>
      <c r="D29" s="7">
        <v>550000</v>
      </c>
      <c r="E29" s="7">
        <v>0</v>
      </c>
      <c r="F29" s="198">
        <v>0</v>
      </c>
      <c r="G29">
        <v>0</v>
      </c>
    </row>
    <row r="30" spans="1:7" x14ac:dyDescent="0.25">
      <c r="A30" s="196"/>
      <c r="B30" s="196" t="str">
        <v>POSTOBON</v>
      </c>
      <c r="C30" s="7">
        <v>21208985</v>
      </c>
      <c r="D30" s="7">
        <v>9985000</v>
      </c>
      <c r="E30" s="7">
        <v>0</v>
      </c>
      <c r="F30" s="198">
        <v>0</v>
      </c>
      <c r="G30">
        <v>11223985</v>
      </c>
    </row>
    <row r="31" spans="1:7" x14ac:dyDescent="0.25">
      <c r="A31" s="196"/>
      <c r="B31" s="196" t="str">
        <v>COCA COLA</v>
      </c>
      <c r="C31" s="7">
        <v>3576600</v>
      </c>
      <c r="D31" s="7">
        <v>0</v>
      </c>
      <c r="E31" s="7">
        <v>0</v>
      </c>
      <c r="F31" s="198">
        <v>3576600</v>
      </c>
      <c r="G31">
        <v>0</v>
      </c>
    </row>
    <row r="32" spans="1:7" x14ac:dyDescent="0.25">
      <c r="A32" s="196"/>
      <c r="B32" s="196" t="str">
        <v>EL REY DE LAS AGUAS</v>
      </c>
      <c r="C32" s="7">
        <v>2529999</v>
      </c>
      <c r="D32" s="7">
        <v>3300000</v>
      </c>
      <c r="E32" s="7" t="str">
        <v>Devolución $771000</v>
      </c>
      <c r="F32" s="198">
        <v>0</v>
      </c>
      <c r="G32">
        <v>0</v>
      </c>
    </row>
    <row r="33" spans="1:7" x14ac:dyDescent="0.25">
      <c r="A33" s="196"/>
      <c r="B33" s="196" t="str">
        <v>CHALECOS</v>
      </c>
      <c r="C33" s="7">
        <v>975000</v>
      </c>
      <c r="D33" s="7">
        <v>450000</v>
      </c>
      <c r="E33" s="7">
        <v>525000</v>
      </c>
      <c r="F33" s="198">
        <v>0</v>
      </c>
      <c r="G33">
        <v>0</v>
      </c>
    </row>
    <row r="34" spans="1:7" x14ac:dyDescent="0.25">
      <c r="A34" s="196"/>
      <c r="B34" s="196" t="str">
        <v>GORRAS</v>
      </c>
      <c r="C34" s="7">
        <v>235000</v>
      </c>
      <c r="D34" s="7">
        <v>50000</v>
      </c>
      <c r="E34" s="7">
        <v>185000</v>
      </c>
      <c r="F34" s="198">
        <v>0</v>
      </c>
      <c r="G34">
        <v>0</v>
      </c>
    </row>
    <row r="35" spans="1:7" x14ac:dyDescent="0.25">
      <c r="A35" s="196"/>
      <c r="B35" s="196" t="str">
        <v>CAMISETAS F3R</v>
      </c>
      <c r="C35" s="7">
        <v>175000</v>
      </c>
      <c r="D35" s="7">
        <v>175000</v>
      </c>
      <c r="E35" s="7">
        <v>0</v>
      </c>
      <c r="F35" s="198">
        <v>0</v>
      </c>
      <c r="G35">
        <v>0</v>
      </c>
    </row>
    <row r="36" spans="1:7" x14ac:dyDescent="0.25">
      <c r="A36" s="196"/>
      <c r="B36" s="196" t="str">
        <v>IMPREVISTOS</v>
      </c>
      <c r="C36" s="7">
        <v>0</v>
      </c>
      <c r="D36" s="7">
        <v>0</v>
      </c>
      <c r="E36" s="7">
        <v>0</v>
      </c>
      <c r="F36" s="198">
        <v>0</v>
      </c>
      <c r="G36">
        <v>0</v>
      </c>
    </row>
    <row r="37" spans="1:7" x14ac:dyDescent="0.25">
      <c r="A37" s="196"/>
      <c r="B37" s="196" t="str">
        <v>HIELO + TRANSPORTE</v>
      </c>
      <c r="C37" s="7">
        <v>1400000</v>
      </c>
      <c r="D37" s="7">
        <v>0</v>
      </c>
      <c r="E37" s="7">
        <v>1400000</v>
      </c>
      <c r="F37" s="198">
        <v>0</v>
      </c>
      <c r="G37">
        <v>0</v>
      </c>
    </row>
    <row r="38" spans="1:7" x14ac:dyDescent="0.25">
      <c r="A38" s="196"/>
      <c r="B38" s="196" t="str">
        <v>ALMUERZOS PERSONAL BEBIDAS</v>
      </c>
      <c r="C38" s="7">
        <v>700000</v>
      </c>
      <c r="D38" s="7">
        <v>0</v>
      </c>
      <c r="E38" s="7">
        <v>700000</v>
      </c>
      <c r="F38" s="198">
        <v>0</v>
      </c>
      <c r="G38">
        <v>0</v>
      </c>
    </row>
    <row r="39" spans="1:7" x14ac:dyDescent="0.25">
      <c r="A39" s="196"/>
      <c r="B39" s="196" t="str">
        <v>DATAFONOS BOLD</v>
      </c>
      <c r="C39" s="7">
        <v>174000</v>
      </c>
      <c r="D39" s="7">
        <v>174000</v>
      </c>
      <c r="E39" s="7">
        <v>0</v>
      </c>
      <c r="F39" s="198">
        <v>0</v>
      </c>
      <c r="G39">
        <v>0</v>
      </c>
    </row>
    <row r="40" spans="1:7" x14ac:dyDescent="0.25">
      <c r="A40" s="196"/>
      <c r="B40" s="196" t="str">
        <v>COMBUSTIBLE FR 30 SEPT</v>
      </c>
      <c r="C40" s="7">
        <v>319338</v>
      </c>
      <c r="D40" s="7">
        <v>219338</v>
      </c>
      <c r="E40" s="7">
        <v>100000</v>
      </c>
      <c r="F40" s="198">
        <v>0</v>
      </c>
      <c r="G40">
        <v>0</v>
      </c>
    </row>
    <row r="41" spans="1:7" x14ac:dyDescent="0.25">
      <c r="A41" s="196"/>
      <c r="B41" t="str">
        <v>HIDRALITE ARA</v>
      </c>
      <c r="C41" s="7">
        <v>96000</v>
      </c>
      <c r="D41" s="7">
        <v>96000</v>
      </c>
      <c r="E41" s="7">
        <v>0</v>
      </c>
      <c r="F41" s="198">
        <v>0</v>
      </c>
      <c r="G41">
        <v>0</v>
      </c>
    </row>
    <row r="42" spans="1:7" x14ac:dyDescent="0.25">
      <c r="A42" s="196"/>
      <c r="B42" t="str">
        <v>CAJAS REGISTRADORAS</v>
      </c>
      <c r="C42" s="7">
        <v>540264</v>
      </c>
      <c r="D42" s="7">
        <v>540264</v>
      </c>
      <c r="E42" s="7">
        <v>0</v>
      </c>
      <c r="F42" s="198">
        <v>0</v>
      </c>
      <c r="G42">
        <v>0</v>
      </c>
    </row>
    <row r="43" spans="1:7" ht="15.75" thickBot="1" x14ac:dyDescent="0.3">
      <c r="A43" s="196"/>
      <c r="B43" t="str">
        <v>MENUDO DE CAJAS BEBIDAS</v>
      </c>
      <c r="C43" s="7">
        <v>5000000</v>
      </c>
      <c r="D43" s="7">
        <v>5000000</v>
      </c>
      <c r="E43" s="7">
        <v>0</v>
      </c>
      <c r="F43" s="198">
        <v>0</v>
      </c>
      <c r="G43">
        <v>0</v>
      </c>
    </row>
    <row r="44" spans="1:7" ht="15.75" thickBot="1" x14ac:dyDescent="0.3">
      <c r="A44" s="199"/>
      <c r="B44" s="200" t="str">
        <v>TOTAL</v>
      </c>
      <c r="C44" s="203">
        <v>37630186</v>
      </c>
      <c r="D44" s="203">
        <v>20689602</v>
      </c>
      <c r="E44" s="203">
        <v>2910000</v>
      </c>
      <c r="F44" s="204">
        <v>0</v>
      </c>
      <c r="G44">
        <v>11223985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68C94-7F9F-4621-86A1-BFB667D4CD6C}">
  <dimension ref="A2:F31"/>
  <sheetViews>
    <sheetView topLeftCell="A19" workbookViewId="0">
      <selection activeCell="C16" sqref="C16"/>
    </sheetView>
  </sheetViews>
  <sheetFormatPr baseColWidth="10" defaultRowHeight="15" x14ac:dyDescent="0.25"/>
  <cols>
    <col min="1" max="1" width="32" customWidth="1"/>
    <col min="2" max="2" width="14.28515625" bestFit="1" customWidth="1"/>
    <col min="3" max="3" width="19.42578125" bestFit="1" customWidth="1"/>
    <col min="4" max="4" width="12.7109375" bestFit="1" customWidth="1"/>
    <col min="5" max="5" width="15.28515625" customWidth="1"/>
    <col min="6" max="6" width="14.140625" customWidth="1"/>
  </cols>
  <sheetData>
    <row r="2" spans="1:6" ht="28.9" customHeight="1" x14ac:dyDescent="0.25">
      <c r="A2" s="243" t="s">
        <v>139</v>
      </c>
      <c r="B2" s="244"/>
      <c r="C2" s="244"/>
      <c r="D2" s="244"/>
      <c r="E2" s="244"/>
      <c r="F2" s="245"/>
    </row>
    <row r="3" spans="1:6" x14ac:dyDescent="0.25">
      <c r="A3" s="178" t="s">
        <v>136</v>
      </c>
      <c r="B3" s="178" t="s">
        <v>93</v>
      </c>
      <c r="C3" s="178" t="s">
        <v>108</v>
      </c>
      <c r="D3" s="178" t="s">
        <v>102</v>
      </c>
      <c r="E3" s="178" t="s">
        <v>103</v>
      </c>
      <c r="F3" s="178" t="s">
        <v>104</v>
      </c>
    </row>
    <row r="4" spans="1:6" x14ac:dyDescent="0.25">
      <c r="A4" s="184" t="s">
        <v>101</v>
      </c>
      <c r="B4" s="185">
        <f>'Cuentas Produccion'!F10</f>
        <v>700000</v>
      </c>
      <c r="C4" s="177" t="s">
        <v>109</v>
      </c>
      <c r="D4" s="176">
        <v>17553786851</v>
      </c>
      <c r="E4" s="176" t="s">
        <v>106</v>
      </c>
      <c r="F4" s="176" t="s">
        <v>105</v>
      </c>
    </row>
    <row r="5" spans="1:6" x14ac:dyDescent="0.25">
      <c r="A5" s="184" t="s">
        <v>44</v>
      </c>
      <c r="B5" s="185">
        <v>3500000</v>
      </c>
      <c r="C5" s="177" t="s">
        <v>110</v>
      </c>
      <c r="D5" s="176" t="s">
        <v>107</v>
      </c>
      <c r="E5" s="176" t="s">
        <v>106</v>
      </c>
      <c r="F5" s="176" t="s">
        <v>105</v>
      </c>
    </row>
    <row r="6" spans="1:6" x14ac:dyDescent="0.25">
      <c r="A6" s="184" t="s">
        <v>160</v>
      </c>
      <c r="B6" s="185">
        <v>750000</v>
      </c>
      <c r="C6" s="177" t="s">
        <v>161</v>
      </c>
      <c r="D6" s="176"/>
      <c r="E6" s="176"/>
      <c r="F6" s="176"/>
    </row>
    <row r="7" spans="1:6" x14ac:dyDescent="0.25">
      <c r="A7" s="176" t="s">
        <v>55</v>
      </c>
      <c r="B7" s="177">
        <v>3500000</v>
      </c>
      <c r="C7" s="177" t="s">
        <v>111</v>
      </c>
      <c r="D7" s="176" t="s">
        <v>111</v>
      </c>
      <c r="E7" s="176" t="s">
        <v>111</v>
      </c>
      <c r="F7" s="176" t="s">
        <v>111</v>
      </c>
    </row>
    <row r="8" spans="1:6" x14ac:dyDescent="0.25">
      <c r="A8" s="184" t="s">
        <v>163</v>
      </c>
      <c r="B8" s="185">
        <v>200000</v>
      </c>
      <c r="C8" s="177"/>
      <c r="D8" s="176"/>
      <c r="E8" s="176"/>
      <c r="F8" s="176"/>
    </row>
    <row r="9" spans="1:6" x14ac:dyDescent="0.25">
      <c r="A9" s="184" t="s">
        <v>162</v>
      </c>
      <c r="B9" s="185">
        <v>550000</v>
      </c>
      <c r="C9" s="177"/>
      <c r="D9" s="176"/>
      <c r="E9" s="176"/>
      <c r="F9" s="176"/>
    </row>
    <row r="10" spans="1:6" x14ac:dyDescent="0.25">
      <c r="A10" s="176" t="s">
        <v>129</v>
      </c>
      <c r="B10" s="177">
        <f>'Cuentas Produccion'!F9</f>
        <v>1048000</v>
      </c>
      <c r="C10" s="177"/>
      <c r="D10" s="176"/>
      <c r="E10" s="176"/>
      <c r="F10" s="176"/>
    </row>
    <row r="11" spans="1:6" x14ac:dyDescent="0.25">
      <c r="A11" s="184" t="s">
        <v>0</v>
      </c>
      <c r="B11" s="186">
        <v>9985000</v>
      </c>
      <c r="C11" s="177"/>
      <c r="D11" s="176"/>
      <c r="E11" s="176"/>
      <c r="F11" s="176"/>
    </row>
    <row r="12" spans="1:6" x14ac:dyDescent="0.25">
      <c r="A12" s="176" t="s">
        <v>10</v>
      </c>
      <c r="B12" s="177">
        <f>Bebidas!C44</f>
        <v>3387330.24</v>
      </c>
      <c r="C12" s="177"/>
      <c r="D12" s="176"/>
      <c r="E12" s="176"/>
      <c r="F12" s="176"/>
    </row>
    <row r="13" spans="1:6" x14ac:dyDescent="0.25">
      <c r="A13" s="187" t="s">
        <v>74</v>
      </c>
      <c r="B13" s="188">
        <v>3300000</v>
      </c>
      <c r="C13" s="177"/>
      <c r="D13" s="176"/>
      <c r="E13" s="176"/>
      <c r="F13" s="176"/>
    </row>
    <row r="14" spans="1:6" x14ac:dyDescent="0.25">
      <c r="A14" s="176" t="s">
        <v>131</v>
      </c>
      <c r="B14" s="177">
        <f>'Cuentas Produccion'!F12</f>
        <v>525000</v>
      </c>
      <c r="C14" s="177"/>
      <c r="D14" s="176"/>
      <c r="E14" s="176"/>
      <c r="F14" s="176"/>
    </row>
    <row r="15" spans="1:6" x14ac:dyDescent="0.25">
      <c r="A15" s="176" t="s">
        <v>132</v>
      </c>
      <c r="B15" s="177">
        <v>50000</v>
      </c>
      <c r="C15" s="177"/>
      <c r="D15" s="176"/>
      <c r="E15" s="176"/>
      <c r="F15" s="176"/>
    </row>
    <row r="16" spans="1:6" x14ac:dyDescent="0.25">
      <c r="A16" s="176" t="s">
        <v>165</v>
      </c>
      <c r="B16" s="177">
        <v>175000</v>
      </c>
      <c r="C16" s="177"/>
      <c r="D16" s="176"/>
      <c r="E16" s="176"/>
      <c r="F16" s="176"/>
    </row>
    <row r="17" spans="1:6" x14ac:dyDescent="0.25">
      <c r="A17" s="176" t="s">
        <v>133</v>
      </c>
      <c r="B17" s="177">
        <f>'Cuentas Produccion'!F17</f>
        <v>1000000</v>
      </c>
      <c r="C17" s="177"/>
      <c r="D17" s="176"/>
      <c r="E17" s="176"/>
      <c r="F17" s="176"/>
    </row>
    <row r="18" spans="1:6" x14ac:dyDescent="0.25">
      <c r="A18" s="176" t="s">
        <v>134</v>
      </c>
      <c r="B18" s="177">
        <f>Bebidas!C36</f>
        <v>1285000</v>
      </c>
      <c r="C18" s="177"/>
      <c r="D18" s="176"/>
      <c r="E18" s="176"/>
      <c r="F18" s="176"/>
    </row>
    <row r="19" spans="1:6" x14ac:dyDescent="0.25">
      <c r="A19" s="176" t="s">
        <v>137</v>
      </c>
      <c r="B19" s="177">
        <f>Bebidas!C40</f>
        <v>225000</v>
      </c>
      <c r="C19" s="177"/>
      <c r="D19" s="176"/>
      <c r="E19" s="176"/>
      <c r="F19" s="176"/>
    </row>
    <row r="20" spans="1:6" x14ac:dyDescent="0.25">
      <c r="A20" s="176" t="s">
        <v>138</v>
      </c>
      <c r="B20" s="177">
        <f>'Cuentas Produccion'!F14</f>
        <v>360000</v>
      </c>
      <c r="C20" s="177"/>
      <c r="D20" s="176"/>
      <c r="E20" s="176"/>
      <c r="F20" s="176"/>
    </row>
    <row r="21" spans="1:6" x14ac:dyDescent="0.25">
      <c r="A21" s="187" t="s">
        <v>135</v>
      </c>
      <c r="B21" s="185">
        <f>Bebidas!C42</f>
        <v>5000000</v>
      </c>
      <c r="C21" s="177"/>
      <c r="D21" s="176"/>
      <c r="E21" s="176"/>
      <c r="F21" s="176"/>
    </row>
    <row r="22" spans="1:6" x14ac:dyDescent="0.25">
      <c r="A22" s="181" t="s">
        <v>130</v>
      </c>
      <c r="B22" s="182">
        <f>SUM(B4:B21)</f>
        <v>35540330.240000002</v>
      </c>
      <c r="C22" s="177"/>
      <c r="D22" s="176"/>
      <c r="E22" s="176"/>
      <c r="F22" s="176"/>
    </row>
    <row r="23" spans="1:6" x14ac:dyDescent="0.25">
      <c r="B23" s="167"/>
      <c r="C23" s="167"/>
    </row>
    <row r="24" spans="1:6" x14ac:dyDescent="0.25">
      <c r="B24" s="167"/>
      <c r="C24" s="167"/>
    </row>
    <row r="25" spans="1:6" x14ac:dyDescent="0.25">
      <c r="B25" s="167"/>
      <c r="C25" s="167"/>
    </row>
    <row r="26" spans="1:6" x14ac:dyDescent="0.25">
      <c r="A26" t="s">
        <v>125</v>
      </c>
      <c r="B26" s="167">
        <f>'Cuentas Produccion'!B3+'Cuentas Produccion'!B4</f>
        <v>42000000</v>
      </c>
      <c r="C26" s="167"/>
      <c r="E26" s="174"/>
    </row>
    <row r="27" spans="1:6" x14ac:dyDescent="0.25">
      <c r="A27" t="s">
        <v>126</v>
      </c>
      <c r="B27" s="167">
        <f>B4+B5+B6+B9+B21+B11+B8</f>
        <v>20685000</v>
      </c>
      <c r="C27" s="167"/>
    </row>
    <row r="28" spans="1:6" x14ac:dyDescent="0.25">
      <c r="A28" t="str">
        <f>'Cuentas Produccion'!A6</f>
        <v>RV</v>
      </c>
      <c r="B28" s="167">
        <f>'Cuentas Produccion'!C6</f>
        <v>14000000</v>
      </c>
      <c r="C28" s="167"/>
      <c r="D28" s="183">
        <f>B22-B30</f>
        <v>32225330.240000002</v>
      </c>
    </row>
    <row r="29" spans="1:6" x14ac:dyDescent="0.25">
      <c r="A29" t="str">
        <f>'Cuentas Produccion'!A8</f>
        <v>Aba Carpas</v>
      </c>
      <c r="B29" s="167">
        <f>'Cuentas Produccion'!C8</f>
        <v>4000000</v>
      </c>
      <c r="C29" s="167"/>
    </row>
    <row r="30" spans="1:6" x14ac:dyDescent="0.25">
      <c r="A30" s="179" t="s">
        <v>128</v>
      </c>
      <c r="B30" s="180">
        <f>B26-B28-B29-B27</f>
        <v>3315000</v>
      </c>
      <c r="C30" s="167"/>
    </row>
    <row r="31" spans="1:6" x14ac:dyDescent="0.25">
      <c r="B31" s="167"/>
      <c r="C31" s="167"/>
    </row>
  </sheetData>
  <mergeCells count="1"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6515-C799-4EDE-AF95-00C39A65FAA0}">
  <dimension ref="A1:E5"/>
  <sheetViews>
    <sheetView workbookViewId="0">
      <selection sqref="A1:XFD1"/>
    </sheetView>
  </sheetViews>
  <sheetFormatPr baseColWidth="10" defaultRowHeight="15" x14ac:dyDescent="0.25"/>
  <cols>
    <col min="1" max="1" width="14.85546875" bestFit="1" customWidth="1"/>
    <col min="2" max="2" width="17.28515625" bestFit="1" customWidth="1"/>
  </cols>
  <sheetData>
    <row r="1" spans="1:5" x14ac:dyDescent="0.25">
      <c r="A1" t="s">
        <v>140</v>
      </c>
      <c r="B1" t="s">
        <v>141</v>
      </c>
      <c r="C1" t="s">
        <v>142</v>
      </c>
      <c r="D1" t="s">
        <v>143</v>
      </c>
      <c r="E1">
        <v>45591156</v>
      </c>
    </row>
    <row r="2" spans="1:5" x14ac:dyDescent="0.25">
      <c r="A2" t="s">
        <v>144</v>
      </c>
      <c r="B2" t="s">
        <v>145</v>
      </c>
      <c r="C2" t="s">
        <v>146</v>
      </c>
      <c r="D2" t="s">
        <v>147</v>
      </c>
      <c r="E2">
        <v>45706484</v>
      </c>
    </row>
    <row r="3" spans="1:5" x14ac:dyDescent="0.25">
      <c r="A3" t="s">
        <v>148</v>
      </c>
      <c r="B3" t="s">
        <v>149</v>
      </c>
      <c r="C3" t="s">
        <v>150</v>
      </c>
      <c r="D3" t="s">
        <v>151</v>
      </c>
      <c r="E3">
        <v>45533328</v>
      </c>
    </row>
    <row r="4" spans="1:5" x14ac:dyDescent="0.25">
      <c r="A4" t="s">
        <v>152</v>
      </c>
      <c r="B4" t="s">
        <v>153</v>
      </c>
      <c r="C4" t="s">
        <v>154</v>
      </c>
      <c r="D4" t="s">
        <v>155</v>
      </c>
      <c r="E4">
        <v>1043295335</v>
      </c>
    </row>
    <row r="5" spans="1:5" x14ac:dyDescent="0.25">
      <c r="A5" t="s">
        <v>156</v>
      </c>
      <c r="B5" t="s">
        <v>157</v>
      </c>
      <c r="C5" t="s">
        <v>158</v>
      </c>
      <c r="D5" t="s">
        <v>159</v>
      </c>
      <c r="E5">
        <v>45535632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Bebidas</vt:lpstr>
      <vt:lpstr>Comparativo compras bebidas</vt:lpstr>
      <vt:lpstr>Mobiliario</vt:lpstr>
      <vt:lpstr>Cuentas Produccion</vt:lpstr>
      <vt:lpstr>Cuentas Adicionales</vt:lpstr>
      <vt:lpstr>Cuentas Bebidas</vt:lpstr>
      <vt:lpstr>Resumen Cuentas</vt:lpstr>
      <vt:lpstr>Resumen pagos 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Mgs Comercial</dc:creator>
  <cp:lastModifiedBy>Lorcy Atencio</cp:lastModifiedBy>
  <cp:lastPrinted>2026-04-10T19:50:06Z</cp:lastPrinted>
  <dcterms:created xsi:type="dcterms:W3CDTF">2026-03-09T16:10:45Z</dcterms:created>
  <dcterms:modified xsi:type="dcterms:W3CDTF">2026-10-09T02:13:57Z</dcterms:modified>
</cp:coreProperties>
</file>