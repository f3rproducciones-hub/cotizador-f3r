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STRO 14 3000\Documents\F3R\10. OCTUBRE\ENAP\Family Day\"/>
    </mc:Choice>
  </mc:AlternateContent>
  <xr:revisionPtr revIDLastSave="0" documentId="13_ncr:1_{E4D0E40B-1385-4905-808F-5E306649EB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tización" sheetId="2" r:id="rId1"/>
  </sheets>
  <definedNames>
    <definedName name="_xlnm.Print_Area" localSheetId="0">Cotización!$A$1:$E$74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2" l="1"/>
  <c r="E65" i="2"/>
  <c r="E64" i="2"/>
  <c r="E63" i="2"/>
  <c r="E62" i="2"/>
  <c r="E61" i="2"/>
  <c r="E60" i="2"/>
  <c r="E59" i="2"/>
  <c r="E58" i="2"/>
  <c r="E55" i="2"/>
  <c r="E25" i="2"/>
  <c r="E24" i="2"/>
  <c r="E49" i="2"/>
  <c r="E45" i="2"/>
  <c r="E46" i="2" s="1"/>
  <c r="E42" i="2"/>
  <c r="E41" i="2"/>
  <c r="E40" i="2"/>
  <c r="E43" i="2" s="1"/>
  <c r="E29" i="2"/>
  <c r="E30" i="2"/>
  <c r="E31" i="2"/>
  <c r="E32" i="2"/>
  <c r="E33" i="2"/>
  <c r="E34" i="2"/>
  <c r="E35" i="2"/>
  <c r="E36" i="2"/>
  <c r="E37" i="2"/>
  <c r="E28" i="2"/>
  <c r="E14" i="2"/>
  <c r="E15" i="2"/>
  <c r="E16" i="2"/>
  <c r="E17" i="2"/>
  <c r="E18" i="2"/>
  <c r="E19" i="2"/>
  <c r="E20" i="2"/>
  <c r="E21" i="2"/>
  <c r="E22" i="2"/>
  <c r="E23" i="2"/>
  <c r="E13" i="2"/>
  <c r="E68" i="2"/>
  <c r="E69" i="2" s="1"/>
  <c r="E53" i="2"/>
  <c r="E50" i="2"/>
  <c r="E48" i="2"/>
  <c r="E51" i="2" s="1"/>
  <c r="E66" i="2" l="1"/>
  <c r="E38" i="2"/>
  <c r="E26" i="2"/>
  <c r="E56" i="2"/>
  <c r="C2" i="2"/>
  <c r="E71" i="2" l="1"/>
  <c r="E73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<sst xmlns="http://schemas.openxmlformats.org/spreadsheetml/2006/main" count="108" uniqueCount="78">
  <si>
    <t>DATOS DEL CLIENTE</t>
  </si>
  <si>
    <t>NIT</t>
  </si>
  <si>
    <t>Dirección:</t>
  </si>
  <si>
    <t>Valor Unitario</t>
  </si>
  <si>
    <t>Cantidad</t>
  </si>
  <si>
    <t>Item</t>
  </si>
  <si>
    <t>Valor Total</t>
  </si>
  <si>
    <t>Cuenta Ahorros Bancolombia</t>
  </si>
  <si>
    <t>509-637939-92</t>
  </si>
  <si>
    <t>WhatsApp</t>
  </si>
  <si>
    <t>Forma de pago</t>
  </si>
  <si>
    <t xml:space="preserve">RAZON SOCIAL: </t>
  </si>
  <si>
    <t xml:space="preserve">Contado </t>
  </si>
  <si>
    <t>A nombre de:</t>
  </si>
  <si>
    <t>ESCUELA NAVAL DE CADETES ALMIRANTE PADILLA - ENAP</t>
  </si>
  <si>
    <t>800.141.648-9</t>
  </si>
  <si>
    <t>Conjunto Residencial verona torre 4 - 316</t>
  </si>
  <si>
    <t>Roadie</t>
  </si>
  <si>
    <t>SONIDO</t>
  </si>
  <si>
    <t>GENERADORES ELECTRICOS</t>
  </si>
  <si>
    <t>ADICIONALES</t>
  </si>
  <si>
    <t>Gasto Operativo + Transporte de equipos</t>
  </si>
  <si>
    <t>Subtotal</t>
  </si>
  <si>
    <t>Total</t>
  </si>
  <si>
    <t>_________________________________</t>
  </si>
  <si>
    <t>Dj Profesional + Controladora</t>
  </si>
  <si>
    <t>Gasto Operativo y transporte de equipos</t>
  </si>
  <si>
    <t>Bajos dobles 2x18 JBL SLX para Relevo</t>
  </si>
  <si>
    <t>ILUMINACIÓN</t>
  </si>
  <si>
    <t xml:space="preserve">Par led RGBWUV 5 vatios </t>
  </si>
  <si>
    <t xml:space="preserve">Iluminación tipo feria 500mts </t>
  </si>
  <si>
    <t>Auxiliar de iluminación</t>
  </si>
  <si>
    <t>Strober led</t>
  </si>
  <si>
    <t>ESTRUCTURA</t>
  </si>
  <si>
    <t>Estructuras tipo boom de 4 mts para luces de feria</t>
  </si>
  <si>
    <t>AUDIOVISUALES</t>
  </si>
  <si>
    <t xml:space="preserve">Generador eléctrico 75kva </t>
  </si>
  <si>
    <t xml:space="preserve">Generador eléctrico 100kva </t>
  </si>
  <si>
    <t xml:space="preserve">20 Puntos Electricos para las carpas </t>
  </si>
  <si>
    <t>COTIZACIÓN C-V1-9001 Family Day ENAP</t>
  </si>
  <si>
    <t>Cabina line array DAS AERO 40 (6 por lado)</t>
  </si>
  <si>
    <t>Subwoofer Dobles 2x18 DAS LX218</t>
  </si>
  <si>
    <t>Side Fill DAS VANTEC</t>
  </si>
  <si>
    <t>Cabina line array DAS AERO 40 para Relevo en estructura elevada</t>
  </si>
  <si>
    <t>Consola midas M32</t>
  </si>
  <si>
    <t>Monitor de piso DAS SM15</t>
  </si>
  <si>
    <t>Cabezas móviles BEAM WASH SPOT</t>
  </si>
  <si>
    <t>Consola de luces GRANDMA 2 CW + FADER WING</t>
  </si>
  <si>
    <t xml:space="preserve">Portico elevado sonido de relevo de 3x3mts </t>
  </si>
  <si>
    <t>Escenario principal GROUND SUPPORT DE 12,80 X 9,80 X 7 MTS con tarima americana de 9x8 mts + puente interno para anclaje de iluminación y pantallas, TARIMA DE 9,76 X 8,54 X 1,40 ALTURA + 2 Escaleras de acceso</t>
  </si>
  <si>
    <t>Pantalla led 3,9 Pitch de 4x3 mts y 4 lagrimas horizontales de 0,5x2mts para escenario principal</t>
  </si>
  <si>
    <t>Combo TV 50" + PS5 + Base a piso</t>
  </si>
  <si>
    <t>ZONA INFANTIL</t>
  </si>
  <si>
    <t>Cañon de espuma grande</t>
  </si>
  <si>
    <t>Cañon de espuma pequeño</t>
  </si>
  <si>
    <t>Inflable pequeño niños pequeños</t>
  </si>
  <si>
    <t>Inflable azul agua niños pequeños</t>
  </si>
  <si>
    <t>Inflabe piscina modular  Niños 5-12 años</t>
  </si>
  <si>
    <t>Muro de escalar Niños 5-12 años</t>
  </si>
  <si>
    <t>Pista de obstaculos uso mixto alternando</t>
  </si>
  <si>
    <t>Descuento Hangares</t>
  </si>
  <si>
    <t xml:space="preserve">Transporte </t>
  </si>
  <si>
    <r>
      <rPr>
        <sz val="9"/>
        <rFont val="Arial MT"/>
      </rPr>
      <t>Microfono inalámbrico y/o countryman con receptor SHURE SLX y QLX
con combinador de antenas x 4 UND</t>
    </r>
  </si>
  <si>
    <t>Micrófonos alámbricos Shure SM 57 y 58</t>
  </si>
  <si>
    <t>Amplificador de bajo Ampeg 4*10</t>
  </si>
  <si>
    <t>Ingeniero de sonido</t>
  </si>
  <si>
    <t>Opti led</t>
  </si>
  <si>
    <t>Blinder para iluminación exterior en Truss para Iluminación de 2mts</t>
  </si>
  <si>
    <t>Camara de humo Hazer PRO</t>
  </si>
  <si>
    <t>Luminotécnico</t>
  </si>
  <si>
    <t>F3R Producciones</t>
  </si>
  <si>
    <t>Carpas 4x4 blancas para emprendimientos con punto de corriente cada carpa</t>
  </si>
  <si>
    <t>Vigencia: Esta propuesta tiene la vigencia indicada en la cotización y está sujeta a disponibilidad de fecha, equipos y personal.
Reserva: La fecha se garantiza únicamente con la aceptación de la propuesta y el pago del anticipo acordado.
Pagos: Los pagos deberán realizarse en las fechas establecidas. El incumplimiento podrá generar suspensión del servicio y/o cobro de intereses de mora.
Cancelaciones: En caso de cancelación por parte del cliente, el anticipo no será reembolsable, en razón de las reservas y compromisos adquiridos por F3R Producciones.
Reprogramaciones: Todo cambio de fecha estará sujeto a disponibilidad y podrá generar costos adicionales.
Servicios adicionales: Cualquier modificación, ampliación de horario, personal, equipos o requerimiento no incluido en la propuesta será cotizado y cobrado por separado.
Montaje y logística: Transporte, permisos, parqueaderos, alimentación, hospedaje y demás gastos no especificados en la propuesta serán asumidos por el cliente.
Equipos: El cliente será responsable por daños o pérdidas ocasionados a equipos, materiales o elementos de F3R durante la prestación del servicio por causas atribuibles al cliente o terceros bajo su responsabilidad.
Lugar del evento: El cliente deberá garantizar las condiciones de acceso, seguridad, espacio, energía y demás requerimientos necesarios para la ejecución del servicio.
Fuerza mayor: F3R Producciones no será responsable por retrasos o incumplimientos derivados de hechos imprevisibles o fuera de su control.
Responsabilidad: F3R responderá exclusivamente por los servicios expresamente contratados y no asumirá costos o responsabilidades derivados de servicios no incluidos en la propuesta.
Aceptación: La aprobación de la cotización, firma, pago del anticipo o confirmación escrita del servicio implica la aceptación de estas condiciones comerciales.
F3R Producciones se reserva el derecho de modificar disponibilidad, precios y condiciones antes de la confirmación formal del servicio.</t>
  </si>
  <si>
    <t>Francisco Ricaurte</t>
  </si>
  <si>
    <t>300 815 0085</t>
  </si>
  <si>
    <t>Francisco Ricaurte R.</t>
  </si>
  <si>
    <r>
      <t xml:space="preserve">Carpas tipo hangar de 12 x 12 mts sin ambientar </t>
    </r>
    <r>
      <rPr>
        <b/>
        <sz val="10"/>
        <color rgb="FFFF0000"/>
        <rFont val="Arial MT"/>
      </rPr>
      <t>(F3R Producciones 50% de este item)</t>
    </r>
  </si>
  <si>
    <t>f3rproducciones@gmail.com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</si>
</sst>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;[Red]\-&quot;$&quot;\ #,##0;&quot;$&quot;\ \-"/>
    <numFmt numFmtId="166" formatCode="\$\ #,##0"/>
  </numFmts>
  <fonts count="32"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4"/>
      <color rgb="FF000000"/>
      <name val="Times New Roman"/>
      <family val="1"/>
    </font>
    <font>
      <b/>
      <sz val="10"/>
      <color theme="1"/>
      <name val="Aptos"/>
      <family val="2"/>
    </font>
    <font>
      <sz val="10"/>
      <color rgb="FF2C2C2C"/>
      <name val="Aptos"/>
      <family val="2"/>
    </font>
    <font>
      <b/>
      <sz val="10"/>
      <color rgb="FF9A7628"/>
      <name val="Aptos"/>
      <family val="2"/>
    </font>
    <font>
      <b/>
      <sz val="10"/>
      <color rgb="FF303030"/>
      <name val="Aptos"/>
      <family val="2"/>
    </font>
    <font>
      <b/>
      <sz val="9"/>
      <color rgb="FF686868"/>
      <name val="Aptos"/>
      <family val="2"/>
    </font>
    <font>
      <sz val="9"/>
      <color rgb="FF686868"/>
      <name val="Aptos"/>
      <family val="2"/>
    </font>
    <font>
      <sz val="8"/>
      <color rgb="FF686868"/>
      <name val="Aptos"/>
      <family val="2"/>
    </font>
    <font>
      <b/>
      <sz val="12"/>
      <color theme="1"/>
      <name val="Aptos"/>
      <family val="2"/>
    </font>
    <font>
      <sz val="9"/>
      <name val="Arial MT"/>
    </font>
    <font>
      <sz val="10"/>
      <color rgb="FF303030"/>
      <name val="Arial MT"/>
    </font>
    <font>
      <b/>
      <sz val="10"/>
      <color rgb="FF171717"/>
      <name val="Arial MT"/>
    </font>
    <font>
      <sz val="10"/>
      <color rgb="FF2C2C2C"/>
      <name val="Arial MT"/>
    </font>
    <font>
      <b/>
      <sz val="10"/>
      <color rgb="FF303030"/>
      <name val="Arial MT"/>
    </font>
    <font>
      <b/>
      <sz val="10"/>
      <color rgb="FF2C2C2C"/>
      <name val="Arial MT"/>
    </font>
    <font>
      <b/>
      <sz val="10"/>
      <color rgb="FFFFFFFF"/>
      <name val="Arial MT"/>
    </font>
    <font>
      <sz val="9"/>
      <color rgb="FF000000"/>
      <name val="Arial MT"/>
    </font>
    <font>
      <sz val="10"/>
      <color rgb="FF000000"/>
      <name val="Arial MT"/>
    </font>
    <font>
      <b/>
      <sz val="18"/>
      <color rgb="FFCC9900"/>
      <name val="Arial MT"/>
    </font>
    <font>
      <b/>
      <sz val="10"/>
      <color rgb="FFCC9900"/>
      <name val="Arial MT"/>
    </font>
    <font>
      <b/>
      <sz val="10"/>
      <color rgb="FFFF0000"/>
      <name val="Aptos"/>
      <family val="2"/>
    </font>
    <font>
      <b/>
      <sz val="10"/>
      <color theme="1"/>
      <name val="Arial MT"/>
    </font>
    <font>
      <b/>
      <sz val="11"/>
      <color rgb="FFCC9900"/>
      <name val="Arial MT"/>
    </font>
    <font>
      <sz val="6"/>
      <color rgb="FF686868"/>
      <name val="Arial MT"/>
    </font>
    <font>
      <u/>
      <sz val="10"/>
      <color theme="10"/>
      <name val="Times New Roman"/>
      <family val="1"/>
    </font>
    <font>
      <u/>
      <sz val="12"/>
      <color theme="10"/>
      <name val="Times New Roman"/>
      <family val="1"/>
    </font>
    <font>
      <u/>
      <sz val="10"/>
      <color theme="10"/>
      <name val="Arial mt"/>
    </font>
    <font>
      <b/>
      <sz val="10"/>
      <color rgb="FFFF0000"/>
      <name val="Arial MT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EEDC"/>
        <bgColor indexed="64"/>
      </patternFill>
    </fill>
    <fill>
      <patternFill patternType="solid">
        <fgColor rgb="FF303030"/>
        <bgColor indexed="64"/>
      </patternFill>
    </fill>
    <fill>
      <patternFill patternType="solid">
        <fgColor rgb="FFF3F1E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 wrapText="1"/>
    </xf>
    <xf numFmtId="164" fontId="13" fillId="0" borderId="0" xfId="1" applyNumberFormat="1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wrapText="1"/>
    </xf>
    <xf numFmtId="0" fontId="10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/>
    </xf>
    <xf numFmtId="165" fontId="7" fillId="2" borderId="5" xfId="0" applyNumberFormat="1" applyFont="1" applyFill="1" applyBorder="1" applyAlignment="1">
      <alignment horizontal="right" vertical="center" shrinkToFit="1"/>
    </xf>
    <xf numFmtId="0" fontId="9" fillId="2" borderId="4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horizontal="center" vertical="center" wrapText="1"/>
    </xf>
    <xf numFmtId="165" fontId="8" fillId="2" borderId="6" xfId="0" applyNumberFormat="1" applyFont="1" applyFill="1" applyBorder="1" applyAlignment="1">
      <alignment horizontal="left" vertical="center"/>
    </xf>
    <xf numFmtId="165" fontId="5" fillId="2" borderId="7" xfId="0" applyNumberFormat="1" applyFont="1" applyFill="1" applyBorder="1" applyAlignment="1">
      <alignment horizontal="right" vertical="center"/>
    </xf>
    <xf numFmtId="0" fontId="14" fillId="3" borderId="0" xfId="0" applyFont="1" applyFill="1" applyAlignment="1">
      <alignment horizontal="left" vertical="center"/>
    </xf>
    <xf numFmtId="0" fontId="18" fillId="3" borderId="4" xfId="0" applyFont="1" applyFill="1" applyBorder="1" applyAlignment="1">
      <alignment vertical="center"/>
    </xf>
    <xf numFmtId="0" fontId="18" fillId="2" borderId="0" xfId="0" applyFont="1" applyFill="1" applyAlignment="1">
      <alignment horizontal="left" vertical="center" wrapText="1"/>
    </xf>
    <xf numFmtId="0" fontId="19" fillId="5" borderId="4" xfId="0" applyFont="1" applyFill="1" applyBorder="1" applyAlignment="1">
      <alignment horizontal="center" vertical="center"/>
    </xf>
    <xf numFmtId="3" fontId="19" fillId="5" borderId="0" xfId="0" applyNumberFormat="1" applyFont="1" applyFill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1" fontId="20" fillId="0" borderId="0" xfId="0" applyNumberFormat="1" applyFont="1" applyAlignment="1">
      <alignment horizontal="center" vertical="top" shrinkToFit="1"/>
    </xf>
    <xf numFmtId="166" fontId="20" fillId="0" borderId="0" xfId="0" applyNumberFormat="1" applyFont="1" applyAlignment="1">
      <alignment horizontal="right" vertical="top" shrinkToFit="1"/>
    </xf>
    <xf numFmtId="165" fontId="16" fillId="3" borderId="5" xfId="1" applyNumberFormat="1" applyFont="1" applyFill="1" applyBorder="1" applyAlignment="1">
      <alignment horizontal="right" vertical="center"/>
    </xf>
    <xf numFmtId="0" fontId="21" fillId="0" borderId="0" xfId="0" applyFont="1" applyAlignment="1">
      <alignment horizontal="left" vertical="top" wrapText="1"/>
    </xf>
    <xf numFmtId="0" fontId="16" fillId="3" borderId="0" xfId="0" applyFont="1" applyFill="1" applyAlignment="1">
      <alignment horizontal="left" vertical="center" wrapText="1"/>
    </xf>
    <xf numFmtId="3" fontId="16" fillId="3" borderId="0" xfId="0" applyNumberFormat="1" applyFont="1" applyFill="1" applyAlignment="1">
      <alignment horizontal="center" vertical="center" shrinkToFit="1"/>
    </xf>
    <xf numFmtId="165" fontId="16" fillId="3" borderId="0" xfId="0" applyNumberFormat="1" applyFont="1" applyFill="1" applyAlignment="1">
      <alignment horizontal="right" vertical="center" shrinkToFit="1"/>
    </xf>
    <xf numFmtId="165" fontId="16" fillId="3" borderId="5" xfId="0" applyNumberFormat="1" applyFont="1" applyFill="1" applyBorder="1" applyAlignment="1">
      <alignment horizontal="right" vertical="center" shrinkToFit="1"/>
    </xf>
    <xf numFmtId="0" fontId="18" fillId="6" borderId="4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left" vertical="center" wrapText="1"/>
    </xf>
    <xf numFmtId="3" fontId="18" fillId="6" borderId="0" xfId="0" applyNumberFormat="1" applyFont="1" applyFill="1" applyAlignment="1">
      <alignment horizontal="center" vertical="center"/>
    </xf>
    <xf numFmtId="165" fontId="18" fillId="6" borderId="0" xfId="1" applyNumberFormat="1" applyFont="1" applyFill="1" applyBorder="1" applyAlignment="1">
      <alignment horizontal="right" vertical="center"/>
    </xf>
    <xf numFmtId="164" fontId="20" fillId="0" borderId="0" xfId="1" applyNumberFormat="1" applyFont="1" applyFill="1" applyBorder="1" applyAlignment="1">
      <alignment horizontal="right" vertical="top" shrinkToFit="1"/>
    </xf>
    <xf numFmtId="1" fontId="20" fillId="0" borderId="0" xfId="0" applyNumberFormat="1" applyFont="1" applyAlignment="1">
      <alignment horizontal="center" vertical="center" shrinkToFit="1"/>
    </xf>
    <xf numFmtId="164" fontId="20" fillId="0" borderId="0" xfId="1" applyNumberFormat="1" applyFont="1" applyFill="1" applyBorder="1" applyAlignment="1">
      <alignment horizontal="right" vertical="center" shrinkToFit="1"/>
    </xf>
    <xf numFmtId="0" fontId="16" fillId="7" borderId="4" xfId="0" applyFont="1" applyFill="1" applyBorder="1" applyAlignment="1">
      <alignment horizontal="center" vertical="center"/>
    </xf>
    <xf numFmtId="0" fontId="13" fillId="7" borderId="0" xfId="0" applyFont="1" applyFill="1" applyAlignment="1">
      <alignment horizontal="left" vertical="center" wrapText="1"/>
    </xf>
    <xf numFmtId="1" fontId="20" fillId="7" borderId="0" xfId="0" applyNumberFormat="1" applyFont="1" applyFill="1" applyAlignment="1">
      <alignment horizontal="center" vertical="center" shrinkToFit="1"/>
    </xf>
    <xf numFmtId="166" fontId="20" fillId="7" borderId="0" xfId="0" applyNumberFormat="1" applyFont="1" applyFill="1" applyAlignment="1">
      <alignment horizontal="right" vertical="center" shrinkToFit="1"/>
    </xf>
    <xf numFmtId="165" fontId="16" fillId="7" borderId="5" xfId="1" applyNumberFormat="1" applyFont="1" applyFill="1" applyBorder="1" applyAlignment="1">
      <alignment horizontal="right" vertical="center"/>
    </xf>
    <xf numFmtId="0" fontId="18" fillId="7" borderId="4" xfId="0" applyFont="1" applyFill="1" applyBorder="1" applyAlignment="1">
      <alignment horizontal="center" vertical="center"/>
    </xf>
    <xf numFmtId="0" fontId="18" fillId="7" borderId="0" xfId="0" applyFont="1" applyFill="1" applyAlignment="1">
      <alignment horizontal="left" vertical="center" wrapText="1"/>
    </xf>
    <xf numFmtId="3" fontId="18" fillId="7" borderId="0" xfId="0" applyNumberFormat="1" applyFont="1" applyFill="1" applyAlignment="1">
      <alignment horizontal="center" vertical="center"/>
    </xf>
    <xf numFmtId="165" fontId="18" fillId="7" borderId="0" xfId="1" applyNumberFormat="1" applyFont="1" applyFill="1" applyBorder="1" applyAlignment="1">
      <alignment horizontal="right" vertical="center"/>
    </xf>
    <xf numFmtId="0" fontId="19" fillId="5" borderId="0" xfId="0" applyFont="1" applyFill="1" applyAlignment="1">
      <alignment horizontal="left" vertical="center" wrapText="1"/>
    </xf>
    <xf numFmtId="165" fontId="19" fillId="5" borderId="0" xfId="0" applyNumberFormat="1" applyFont="1" applyFill="1" applyAlignment="1">
      <alignment horizontal="right" vertical="center"/>
    </xf>
    <xf numFmtId="165" fontId="19" fillId="5" borderId="5" xfId="1" applyNumberFormat="1" applyFont="1" applyFill="1" applyBorder="1" applyAlignment="1">
      <alignment horizontal="right" vertical="center"/>
    </xf>
    <xf numFmtId="1" fontId="18" fillId="3" borderId="4" xfId="0" applyNumberFormat="1" applyFont="1" applyFill="1" applyBorder="1" applyAlignment="1">
      <alignment horizontal="center" vertical="center" shrinkToFit="1"/>
    </xf>
    <xf numFmtId="0" fontId="19" fillId="8" borderId="4" xfId="0" applyFont="1" applyFill="1" applyBorder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3" fontId="19" fillId="8" borderId="0" xfId="0" applyNumberFormat="1" applyFont="1" applyFill="1" applyAlignment="1">
      <alignment horizontal="center" vertical="center"/>
    </xf>
    <xf numFmtId="165" fontId="19" fillId="8" borderId="0" xfId="0" applyNumberFormat="1" applyFont="1" applyFill="1" applyAlignment="1">
      <alignment horizontal="center" vertical="center"/>
    </xf>
    <xf numFmtId="165" fontId="19" fillId="8" borderId="5" xfId="1" applyNumberFormat="1" applyFont="1" applyFill="1" applyBorder="1" applyAlignment="1">
      <alignment horizontal="center" vertical="center"/>
    </xf>
    <xf numFmtId="0" fontId="19" fillId="8" borderId="0" xfId="0" applyFont="1" applyFill="1" applyAlignment="1">
      <alignment horizontal="left" vertical="center" wrapText="1"/>
    </xf>
    <xf numFmtId="165" fontId="19" fillId="8" borderId="0" xfId="0" applyNumberFormat="1" applyFont="1" applyFill="1" applyAlignment="1">
      <alignment horizontal="right" vertical="center"/>
    </xf>
    <xf numFmtId="165" fontId="19" fillId="8" borderId="5" xfId="1" applyNumberFormat="1" applyFont="1" applyFill="1" applyBorder="1" applyAlignment="1">
      <alignment horizontal="right" vertical="center"/>
    </xf>
    <xf numFmtId="0" fontId="23" fillId="3" borderId="4" xfId="0" applyFont="1" applyFill="1" applyBorder="1" applyAlignment="1">
      <alignment vertical="center"/>
    </xf>
    <xf numFmtId="0" fontId="23" fillId="3" borderId="4" xfId="0" applyFont="1" applyFill="1" applyBorder="1" applyAlignment="1">
      <alignment horizontal="left" vertical="center"/>
    </xf>
    <xf numFmtId="0" fontId="23" fillId="3" borderId="4" xfId="0" applyFont="1" applyFill="1" applyBorder="1" applyAlignment="1">
      <alignment horizontal="left" vertical="center" wrapText="1"/>
    </xf>
    <xf numFmtId="0" fontId="23" fillId="2" borderId="4" xfId="0" applyFont="1" applyFill="1" applyBorder="1" applyAlignment="1">
      <alignment horizontal="left" vertical="center" wrapText="1"/>
    </xf>
    <xf numFmtId="0" fontId="23" fillId="2" borderId="0" xfId="0" applyFont="1" applyFill="1" applyAlignment="1">
      <alignment horizontal="center" vertical="center" wrapText="1"/>
    </xf>
    <xf numFmtId="165" fontId="23" fillId="4" borderId="5" xfId="1" applyNumberFormat="1" applyFont="1" applyFill="1" applyBorder="1" applyAlignment="1">
      <alignment horizontal="right" vertical="center" shrinkToFit="1"/>
    </xf>
    <xf numFmtId="165" fontId="23" fillId="7" borderId="5" xfId="1" applyNumberFormat="1" applyFont="1" applyFill="1" applyBorder="1" applyAlignment="1">
      <alignment horizontal="right" vertical="center" shrinkToFit="1"/>
    </xf>
    <xf numFmtId="165" fontId="23" fillId="4" borderId="5" xfId="0" applyNumberFormat="1" applyFont="1" applyFill="1" applyBorder="1" applyAlignment="1">
      <alignment horizontal="right" vertical="center" shrinkToFit="1"/>
    </xf>
    <xf numFmtId="165" fontId="23" fillId="2" borderId="5" xfId="0" applyNumberFormat="1" applyFont="1" applyFill="1" applyBorder="1" applyAlignment="1">
      <alignment horizontal="right" vertical="center" shrinkToFit="1"/>
    </xf>
    <xf numFmtId="165" fontId="24" fillId="2" borderId="8" xfId="0" applyNumberFormat="1" applyFont="1" applyFill="1" applyBorder="1" applyAlignment="1">
      <alignment horizontal="left" vertical="center"/>
    </xf>
    <xf numFmtId="165" fontId="24" fillId="2" borderId="9" xfId="0" applyNumberFormat="1" applyFont="1" applyFill="1" applyBorder="1" applyAlignment="1">
      <alignment horizontal="right" vertical="center"/>
    </xf>
    <xf numFmtId="0" fontId="25" fillId="3" borderId="0" xfId="0" applyFont="1" applyFill="1" applyAlignment="1">
      <alignment horizontal="left" vertical="center"/>
    </xf>
    <xf numFmtId="0" fontId="16" fillId="6" borderId="4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left" vertical="center" wrapText="1"/>
    </xf>
    <xf numFmtId="3" fontId="16" fillId="6" borderId="0" xfId="0" applyNumberFormat="1" applyFont="1" applyFill="1" applyAlignment="1">
      <alignment horizontal="center" vertical="center"/>
    </xf>
    <xf numFmtId="165" fontId="16" fillId="6" borderId="0" xfId="0" applyNumberFormat="1" applyFont="1" applyFill="1" applyAlignment="1">
      <alignment horizontal="right" vertical="center"/>
    </xf>
    <xf numFmtId="0" fontId="16" fillId="2" borderId="4" xfId="0" applyFont="1" applyFill="1" applyBorder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22" fillId="8" borderId="1" xfId="0" applyFont="1" applyFill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/>
    </xf>
    <xf numFmtId="14" fontId="15" fillId="2" borderId="0" xfId="0" applyNumberFormat="1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0" fontId="15" fillId="2" borderId="5" xfId="0" applyFont="1" applyFill="1" applyBorder="1" applyAlignment="1">
      <alignment horizontal="right" vertical="center"/>
    </xf>
    <xf numFmtId="0" fontId="17" fillId="3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1" fontId="18" fillId="2" borderId="4" xfId="0" applyNumberFormat="1" applyFont="1" applyFill="1" applyBorder="1" applyAlignment="1">
      <alignment horizontal="center" vertical="center" shrinkToFit="1"/>
    </xf>
    <xf numFmtId="0" fontId="16" fillId="2" borderId="0" xfId="0" applyFont="1" applyFill="1" applyAlignment="1">
      <alignment horizontal="left" vertical="center" wrapText="1"/>
    </xf>
    <xf numFmtId="3" fontId="16" fillId="2" borderId="0" xfId="0" applyNumberFormat="1" applyFont="1" applyFill="1" applyAlignment="1">
      <alignment horizontal="center" vertical="center" shrinkToFit="1"/>
    </xf>
    <xf numFmtId="165" fontId="16" fillId="2" borderId="0" xfId="0" applyNumberFormat="1" applyFont="1" applyFill="1" applyAlignment="1">
      <alignment horizontal="right" vertical="center" shrinkToFit="1"/>
    </xf>
    <xf numFmtId="165" fontId="16" fillId="2" borderId="5" xfId="0" applyNumberFormat="1" applyFont="1" applyFill="1" applyBorder="1" applyAlignment="1">
      <alignment horizontal="right" vertical="center" shrinkToFit="1"/>
    </xf>
    <xf numFmtId="0" fontId="2" fillId="0" borderId="0" xfId="0" applyFont="1" applyAlignment="1">
      <alignment horizontal="left" vertical="center"/>
    </xf>
    <xf numFmtId="0" fontId="26" fillId="8" borderId="4" xfId="0" applyFont="1" applyFill="1" applyBorder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26" fillId="8" borderId="5" xfId="0" applyFont="1" applyFill="1" applyBorder="1" applyAlignment="1">
      <alignment horizontal="center" vertical="center"/>
    </xf>
    <xf numFmtId="165" fontId="12" fillId="2" borderId="10" xfId="0" applyNumberFormat="1" applyFont="1" applyFill="1" applyBorder="1" applyAlignment="1">
      <alignment horizontal="left" vertical="center"/>
    </xf>
    <xf numFmtId="165" fontId="12" fillId="2" borderId="11" xfId="0" applyNumberFormat="1" applyFont="1" applyFill="1" applyBorder="1" applyAlignment="1">
      <alignment horizontal="right" vertical="center"/>
    </xf>
    <xf numFmtId="0" fontId="27" fillId="2" borderId="12" xfId="0" applyFont="1" applyFill="1" applyBorder="1" applyAlignment="1">
      <alignment horizontal="left" vertical="center" wrapText="1"/>
    </xf>
    <xf numFmtId="0" fontId="11" fillId="2" borderId="13" xfId="0" applyFont="1" applyFill="1" applyBorder="1" applyAlignment="1">
      <alignment horizontal="left" vertical="center" wrapText="1"/>
    </xf>
    <xf numFmtId="0" fontId="11" fillId="2" borderId="14" xfId="0" applyFont="1" applyFill="1" applyBorder="1" applyAlignment="1">
      <alignment horizontal="left" vertical="center" wrapText="1"/>
    </xf>
    <xf numFmtId="0" fontId="28" fillId="3" borderId="0" xfId="2" applyFill="1" applyAlignment="1">
      <alignment horizontal="left" vertical="center"/>
    </xf>
    <xf numFmtId="0" fontId="29" fillId="3" borderId="0" xfId="2" applyFont="1" applyFill="1" applyAlignment="1">
      <alignment horizontal="left" vertical="center"/>
    </xf>
    <xf numFmtId="0" fontId="30" fillId="2" borderId="0" xfId="2" applyFont="1" applyFill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CC9900"/>
      <color rgb="FFF4FDA1"/>
      <color rgb="FFF6EEDC"/>
      <color rgb="FFFF99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468312</xdr:colOff>
      <xdr:row>3</xdr:row>
      <xdr:rowOff>0</xdr:rowOff>
    </xdr:from>
    <xdr:to>
      <xdr:col>5</xdr:col>
      <xdr:colOff>7936</xdr:colOff>
      <xdr:row>9</xdr:row>
      <xdr:rowOff>31750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3DDBB9-04AB-BE5F-9027-07BD544AAC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16" t="22896" r="5466" b="17282"/>
        <a:stretch>
          <a:fillRect/>
        </a:stretch>
      </xdr:blipFill>
      <xdr:spPr>
        <a:xfrm>
          <a:off x="5072062" y="777875"/>
          <a:ext cx="1881187" cy="1285875"/>
        </a:xfrm>
        <a:prstGeom prst="rect">
          <a:avLst/>
        </a:prstGeom>
      </xdr:spPr>
    </xdr:pic>
    <xdr:clientData/>
  </xdr:twoCellAnchor>
  <xdr:twoCellAnchor editAs="oneCell">
    <xdr:from>
      <xdr:col>1</xdr:col>
      <xdr:colOff>754063</xdr:colOff>
      <xdr:row>72</xdr:row>
      <xdr:rowOff>87312</xdr:rowOff>
    </xdr:from>
    <xdr:to>
      <xdr:col>1</xdr:col>
      <xdr:colOff>1015999</xdr:colOff>
      <xdr:row>72</xdr:row>
      <xdr:rowOff>349248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9079636-E3E2-A2B9-196B-974826667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8313" y="16684625"/>
          <a:ext cx="261936" cy="261936"/>
        </a:xfrm>
        <a:prstGeom prst="rect">
          <a:avLst/>
        </a:prstGeom>
      </xdr:spPr>
    </xdr:pic>
    <xdr:clientData/>
  </xdr:twoCellAnchor>
  <xdr:twoCellAnchor editAs="oneCell">
    <xdr:from>
      <xdr:col>1</xdr:col>
      <xdr:colOff>510292</xdr:colOff>
      <xdr:row>68</xdr:row>
      <xdr:rowOff>119063</xdr:rowOff>
    </xdr:from>
    <xdr:to>
      <xdr:col>1</xdr:col>
      <xdr:colOff>2238374</xdr:colOff>
      <xdr:row>72</xdr:row>
      <xdr:rowOff>19050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F9BC9F8-08FF-9613-DA2D-CFAED5EF7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4542" y="15882938"/>
          <a:ext cx="1728082" cy="73342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 Bancolombia PNG transparente - StickPNG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BC2733-7F26-4D6B-9779-1E0EA3061F69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b3bb9ce1-2b90-4840-9937-e6b6386d676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whatsapp.com/send/?phone=573008150085&amp;text&amp;type=phone_number&amp;app_absent=0" TargetMode="External"/><Relationship Id="rId2" Type="http://schemas.openxmlformats.org/officeDocument/2006/relationships/hyperlink" Target="https://api.whatsapp.com/send/?phone=573008150085&amp;text&amp;type=phone_number&amp;app_absent=0" TargetMode="External"/><Relationship Id="rId1" Type="http://schemas.openxmlformats.org/officeDocument/2006/relationships/hyperlink" Target="mailto:f3rproducciones@gmail.co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C5A62-548D-48E6-942E-131F130E3FCD}">
  <sheetPr>
    <pageSetUpPr fitToPage="1"/>
  </sheetPr>
  <dimension ref="A1:G74"/>
  <sheetViews>
    <sheetView tabSelected="1" zoomScale="120" zoomScaleNormal="120" zoomScaleSheetLayoutView="100" workbookViewId="0">
      <selection activeCell="B6" sqref="B6"/>
    </sheetView>
  </sheetViews>
  <sheetFormatPr baseColWidth="10" defaultColWidth="9.5" defaultRowHeight="12.75"/>
  <cols>
    <col min="1" max="1" width="17.1640625" customWidth="1"/>
    <col min="2" max="2" width="50.1640625" customWidth="1"/>
    <col min="3" max="3" width="13.1640625" customWidth="1"/>
    <col min="4" max="4" width="22.6640625" customWidth="1"/>
    <col min="5" max="5" width="18.33203125" customWidth="1"/>
    <col min="7" max="7" width="68.5" customWidth="1"/>
  </cols>
  <sheetData>
    <row r="1" spans="1:7" ht="36" customHeight="1">
      <c r="A1" s="83" t="s">
        <v>39</v>
      </c>
      <c r="B1" s="84"/>
      <c r="C1" s="84"/>
      <c r="D1" s="84"/>
      <c r="E1" s="85"/>
    </row>
    <row r="2" spans="1:7" s="1" customFormat="1">
      <c r="A2" s="65" t="s">
        <v>11</v>
      </c>
      <c r="B2" s="76" t="s">
        <v>70</v>
      </c>
      <c r="C2" s="86">
        <f ca="1">TODAY()</f>
        <v>46269</v>
      </c>
      <c r="D2" s="87"/>
      <c r="E2" s="88"/>
    </row>
    <row r="3" spans="1:7" s="1" customFormat="1">
      <c r="A3" s="66" t="s">
        <v>1</v>
      </c>
      <c r="B3" s="23">
        <v>1048935287</v>
      </c>
      <c r="C3" s="87"/>
      <c r="D3" s="87"/>
      <c r="E3" s="88"/>
    </row>
    <row r="4" spans="1:7" s="1" customFormat="1">
      <c r="A4" s="66" t="s">
        <v>2</v>
      </c>
      <c r="B4" s="23" t="s">
        <v>16</v>
      </c>
      <c r="C4" s="87"/>
      <c r="D4" s="87"/>
      <c r="E4" s="88"/>
    </row>
    <row r="5" spans="1:7" s="1" customFormat="1" ht="25.5">
      <c r="A5" s="67" t="s">
        <v>73</v>
      </c>
      <c r="B5" s="109" t="s">
        <v>77</v>
      </c>
      <c r="C5" s="92"/>
      <c r="D5" s="92"/>
      <c r="E5" s="93"/>
    </row>
    <row r="6" spans="1:7" s="1" customFormat="1">
      <c r="A6" s="66" t="s">
        <v>9</v>
      </c>
      <c r="B6" s="108" t="s">
        <v>74</v>
      </c>
      <c r="C6" s="92"/>
      <c r="D6" s="92"/>
      <c r="E6" s="93"/>
    </row>
    <row r="7" spans="1:7" s="1" customFormat="1">
      <c r="A7" s="66" t="s">
        <v>10</v>
      </c>
      <c r="B7" s="23" t="s">
        <v>12</v>
      </c>
      <c r="C7" s="92"/>
      <c r="D7" s="92"/>
      <c r="E7" s="93"/>
    </row>
    <row r="8" spans="1:7" s="2" customFormat="1">
      <c r="A8" s="65" t="s">
        <v>7</v>
      </c>
      <c r="B8" s="89" t="e" vm="1">
        <v>#VALUE!</v>
      </c>
      <c r="C8" s="92"/>
      <c r="D8" s="92"/>
      <c r="E8" s="93"/>
    </row>
    <row r="9" spans="1:7" s="2" customFormat="1" ht="23.25" customHeight="1">
      <c r="A9" s="24" t="s">
        <v>8</v>
      </c>
      <c r="B9" s="89"/>
      <c r="C9" s="92"/>
      <c r="D9" s="92"/>
      <c r="E9" s="93"/>
      <c r="G9" s="99"/>
    </row>
    <row r="10" spans="1:7" s="1" customFormat="1" ht="24" customHeight="1">
      <c r="A10" s="100" t="s">
        <v>0</v>
      </c>
      <c r="B10" s="101"/>
      <c r="C10" s="101"/>
      <c r="D10" s="101"/>
      <c r="E10" s="102"/>
    </row>
    <row r="11" spans="1:7" s="4" customFormat="1" ht="33.950000000000003" customHeight="1">
      <c r="A11" s="68" t="s">
        <v>13</v>
      </c>
      <c r="B11" s="25" t="s">
        <v>14</v>
      </c>
      <c r="C11" s="69" t="s">
        <v>1</v>
      </c>
      <c r="D11" s="90" t="s">
        <v>15</v>
      </c>
      <c r="E11" s="91"/>
    </row>
    <row r="12" spans="1:7" s="8" customFormat="1" ht="23.1" customHeight="1">
      <c r="A12" s="57" t="s">
        <v>5</v>
      </c>
      <c r="B12" s="58" t="s">
        <v>18</v>
      </c>
      <c r="C12" s="59" t="s">
        <v>4</v>
      </c>
      <c r="D12" s="60" t="s">
        <v>3</v>
      </c>
      <c r="E12" s="61" t="s">
        <v>6</v>
      </c>
    </row>
    <row r="13" spans="1:7" s="3" customFormat="1">
      <c r="A13" s="28">
        <v>1</v>
      </c>
      <c r="B13" s="10" t="s">
        <v>40</v>
      </c>
      <c r="C13" s="29">
        <v>12</v>
      </c>
      <c r="D13" s="30">
        <v>250000</v>
      </c>
      <c r="E13" s="31">
        <f>D13*C13</f>
        <v>3000000</v>
      </c>
    </row>
    <row r="14" spans="1:7" s="3" customFormat="1">
      <c r="A14" s="28">
        <v>2</v>
      </c>
      <c r="B14" s="10" t="s">
        <v>41</v>
      </c>
      <c r="C14" s="29">
        <v>6</v>
      </c>
      <c r="D14" s="30">
        <v>250000</v>
      </c>
      <c r="E14" s="31">
        <f t="shared" ref="E14:E24" si="0">D14*C14</f>
        <v>1500000</v>
      </c>
    </row>
    <row r="15" spans="1:7" s="3" customFormat="1">
      <c r="A15" s="28">
        <v>3</v>
      </c>
      <c r="B15" s="10" t="s">
        <v>45</v>
      </c>
      <c r="C15" s="29">
        <v>4</v>
      </c>
      <c r="D15" s="30">
        <v>150000</v>
      </c>
      <c r="E15" s="31">
        <f t="shared" si="0"/>
        <v>600000</v>
      </c>
    </row>
    <row r="16" spans="1:7" s="3" customFormat="1">
      <c r="A16" s="28">
        <v>4</v>
      </c>
      <c r="B16" s="10" t="s">
        <v>42</v>
      </c>
      <c r="C16" s="29">
        <v>2</v>
      </c>
      <c r="D16" s="30">
        <v>400000</v>
      </c>
      <c r="E16" s="31">
        <f t="shared" si="0"/>
        <v>800000</v>
      </c>
    </row>
    <row r="17" spans="1:5" s="3" customFormat="1" ht="24">
      <c r="A17" s="28">
        <v>5</v>
      </c>
      <c r="B17" s="10" t="s">
        <v>43</v>
      </c>
      <c r="C17" s="29">
        <v>8</v>
      </c>
      <c r="D17" s="30">
        <v>250000</v>
      </c>
      <c r="E17" s="31">
        <f t="shared" si="0"/>
        <v>2000000</v>
      </c>
    </row>
    <row r="18" spans="1:5" s="3" customFormat="1">
      <c r="A18" s="28">
        <v>6</v>
      </c>
      <c r="B18" s="10" t="s">
        <v>27</v>
      </c>
      <c r="C18" s="29">
        <v>4</v>
      </c>
      <c r="D18" s="30">
        <v>250000</v>
      </c>
      <c r="E18" s="31">
        <f t="shared" si="0"/>
        <v>1000000</v>
      </c>
    </row>
    <row r="19" spans="1:5" s="3" customFormat="1">
      <c r="A19" s="28">
        <v>7</v>
      </c>
      <c r="B19" s="10" t="s">
        <v>44</v>
      </c>
      <c r="C19" s="29">
        <v>1</v>
      </c>
      <c r="D19" s="30">
        <v>250000</v>
      </c>
      <c r="E19" s="31">
        <f t="shared" si="0"/>
        <v>250000</v>
      </c>
    </row>
    <row r="20" spans="1:5" s="3" customFormat="1" ht="36">
      <c r="A20" s="28">
        <v>8</v>
      </c>
      <c r="B20" s="32" t="s">
        <v>62</v>
      </c>
      <c r="C20" s="29">
        <v>4</v>
      </c>
      <c r="D20" s="30">
        <v>480000</v>
      </c>
      <c r="E20" s="31">
        <f t="shared" si="0"/>
        <v>1920000</v>
      </c>
    </row>
    <row r="21" spans="1:5" s="3" customFormat="1">
      <c r="A21" s="28">
        <v>9</v>
      </c>
      <c r="B21" s="10" t="s">
        <v>63</v>
      </c>
      <c r="C21" s="29">
        <v>20</v>
      </c>
      <c r="D21" s="30">
        <v>100000</v>
      </c>
      <c r="E21" s="31">
        <f t="shared" si="0"/>
        <v>2000000</v>
      </c>
    </row>
    <row r="22" spans="1:5" s="3" customFormat="1">
      <c r="A22" s="28">
        <v>10</v>
      </c>
      <c r="B22" s="10" t="s">
        <v>64</v>
      </c>
      <c r="C22" s="29">
        <v>1</v>
      </c>
      <c r="D22" s="30">
        <v>300000</v>
      </c>
      <c r="E22" s="31">
        <f t="shared" si="0"/>
        <v>300000</v>
      </c>
    </row>
    <row r="23" spans="1:5" s="3" customFormat="1">
      <c r="A23" s="28">
        <v>11</v>
      </c>
      <c r="B23" s="10" t="s">
        <v>65</v>
      </c>
      <c r="C23" s="29">
        <v>1</v>
      </c>
      <c r="D23" s="30">
        <v>1000000</v>
      </c>
      <c r="E23" s="31">
        <f t="shared" si="0"/>
        <v>1000000</v>
      </c>
    </row>
    <row r="24" spans="1:5" s="3" customFormat="1">
      <c r="A24" s="28">
        <v>12</v>
      </c>
      <c r="B24" s="10" t="s">
        <v>17</v>
      </c>
      <c r="C24" s="29">
        <v>1</v>
      </c>
      <c r="D24" s="30">
        <v>500000</v>
      </c>
      <c r="E24" s="31">
        <f t="shared" si="0"/>
        <v>500000</v>
      </c>
    </row>
    <row r="25" spans="1:5" s="6" customFormat="1" ht="18.75">
      <c r="A25" s="28">
        <v>13</v>
      </c>
      <c r="B25" s="33" t="s">
        <v>25</v>
      </c>
      <c r="C25" s="34">
        <v>1</v>
      </c>
      <c r="D25" s="35">
        <v>1500000</v>
      </c>
      <c r="E25" s="36">
        <f>D25*C25</f>
        <v>1500000</v>
      </c>
    </row>
    <row r="26" spans="1:5" s="2" customFormat="1">
      <c r="A26" s="37"/>
      <c r="B26" s="38"/>
      <c r="C26" s="39"/>
      <c r="D26" s="40"/>
      <c r="E26" s="70">
        <f>SUM(E13:E25)</f>
        <v>16370000</v>
      </c>
    </row>
    <row r="27" spans="1:5" s="8" customFormat="1" ht="23.1" customHeight="1">
      <c r="A27" s="57" t="s">
        <v>5</v>
      </c>
      <c r="B27" s="58" t="s">
        <v>28</v>
      </c>
      <c r="C27" s="59" t="s">
        <v>4</v>
      </c>
      <c r="D27" s="60" t="s">
        <v>3</v>
      </c>
      <c r="E27" s="61" t="s">
        <v>6</v>
      </c>
    </row>
    <row r="28" spans="1:5" s="3" customFormat="1">
      <c r="A28" s="28">
        <v>1</v>
      </c>
      <c r="B28" s="10" t="s">
        <v>29</v>
      </c>
      <c r="C28" s="29">
        <v>50</v>
      </c>
      <c r="D28" s="41">
        <v>45000</v>
      </c>
      <c r="E28" s="31">
        <f>D28*C28</f>
        <v>2250000</v>
      </c>
    </row>
    <row r="29" spans="1:5" s="3" customFormat="1">
      <c r="A29" s="28">
        <v>2</v>
      </c>
      <c r="B29" s="10" t="s">
        <v>66</v>
      </c>
      <c r="C29" s="29">
        <v>10</v>
      </c>
      <c r="D29" s="41">
        <v>50000</v>
      </c>
      <c r="E29" s="31">
        <f t="shared" ref="E29:E37" si="1">D29*C29</f>
        <v>500000</v>
      </c>
    </row>
    <row r="30" spans="1:5" s="3" customFormat="1">
      <c r="A30" s="28">
        <v>3</v>
      </c>
      <c r="B30" s="10" t="s">
        <v>46</v>
      </c>
      <c r="C30" s="29">
        <v>12</v>
      </c>
      <c r="D30" s="41">
        <v>250000</v>
      </c>
      <c r="E30" s="31">
        <f t="shared" si="1"/>
        <v>3000000</v>
      </c>
    </row>
    <row r="31" spans="1:5" s="3" customFormat="1">
      <c r="A31" s="28">
        <v>3</v>
      </c>
      <c r="B31" s="10" t="s">
        <v>32</v>
      </c>
      <c r="C31" s="29">
        <v>6</v>
      </c>
      <c r="D31" s="41">
        <v>150000</v>
      </c>
      <c r="E31" s="31">
        <f t="shared" si="1"/>
        <v>900000</v>
      </c>
    </row>
    <row r="32" spans="1:5" s="9" customFormat="1" ht="24">
      <c r="A32" s="28">
        <v>4</v>
      </c>
      <c r="B32" s="11" t="s">
        <v>67</v>
      </c>
      <c r="C32" s="42">
        <v>8</v>
      </c>
      <c r="D32" s="43">
        <v>220000</v>
      </c>
      <c r="E32" s="31">
        <f t="shared" si="1"/>
        <v>1760000</v>
      </c>
    </row>
    <row r="33" spans="1:5" s="3" customFormat="1">
      <c r="A33" s="28">
        <v>5</v>
      </c>
      <c r="B33" s="10" t="s">
        <v>30</v>
      </c>
      <c r="C33" s="29">
        <v>500</v>
      </c>
      <c r="D33" s="12">
        <v>10000</v>
      </c>
      <c r="E33" s="31">
        <f t="shared" si="1"/>
        <v>5000000</v>
      </c>
    </row>
    <row r="34" spans="1:5" s="3" customFormat="1">
      <c r="A34" s="28">
        <v>6</v>
      </c>
      <c r="B34" s="10" t="s">
        <v>47</v>
      </c>
      <c r="C34" s="29">
        <v>1</v>
      </c>
      <c r="D34" s="41">
        <v>500000</v>
      </c>
      <c r="E34" s="31">
        <f t="shared" si="1"/>
        <v>500000</v>
      </c>
    </row>
    <row r="35" spans="1:5" s="3" customFormat="1">
      <c r="A35" s="28">
        <v>7</v>
      </c>
      <c r="B35" s="10" t="s">
        <v>68</v>
      </c>
      <c r="C35" s="29">
        <v>2</v>
      </c>
      <c r="D35" s="41">
        <v>150000</v>
      </c>
      <c r="E35" s="31">
        <f t="shared" si="1"/>
        <v>300000</v>
      </c>
    </row>
    <row r="36" spans="1:5" s="3" customFormat="1">
      <c r="A36" s="28">
        <v>8</v>
      </c>
      <c r="B36" s="10" t="s">
        <v>69</v>
      </c>
      <c r="C36" s="29">
        <v>1</v>
      </c>
      <c r="D36" s="41">
        <v>500000</v>
      </c>
      <c r="E36" s="31">
        <f t="shared" si="1"/>
        <v>500000</v>
      </c>
    </row>
    <row r="37" spans="1:5" s="3" customFormat="1">
      <c r="A37" s="28">
        <v>9</v>
      </c>
      <c r="B37" s="10" t="s">
        <v>31</v>
      </c>
      <c r="C37" s="29">
        <v>1</v>
      </c>
      <c r="D37" s="30">
        <v>300000</v>
      </c>
      <c r="E37" s="31">
        <f t="shared" si="1"/>
        <v>300000</v>
      </c>
    </row>
    <row r="38" spans="1:5" s="2" customFormat="1">
      <c r="A38" s="37"/>
      <c r="B38" s="38"/>
      <c r="C38" s="39"/>
      <c r="D38" s="40"/>
      <c r="E38" s="70">
        <f>SUM(E28:E37)</f>
        <v>15010000</v>
      </c>
    </row>
    <row r="39" spans="1:5" s="8" customFormat="1" ht="23.1" customHeight="1">
      <c r="A39" s="57" t="s">
        <v>5</v>
      </c>
      <c r="B39" s="58" t="s">
        <v>33</v>
      </c>
      <c r="C39" s="59" t="s">
        <v>4</v>
      </c>
      <c r="D39" s="60" t="s">
        <v>3</v>
      </c>
      <c r="E39" s="61" t="s">
        <v>6</v>
      </c>
    </row>
    <row r="40" spans="1:5" s="3" customFormat="1" ht="66.75" customHeight="1">
      <c r="A40" s="28">
        <v>1</v>
      </c>
      <c r="B40" s="10" t="s">
        <v>49</v>
      </c>
      <c r="C40" s="42">
        <v>1</v>
      </c>
      <c r="D40" s="43">
        <v>9000000</v>
      </c>
      <c r="E40" s="31">
        <f>D40*C40</f>
        <v>9000000</v>
      </c>
    </row>
    <row r="41" spans="1:5" s="3" customFormat="1">
      <c r="A41" s="28">
        <v>2</v>
      </c>
      <c r="B41" s="10" t="s">
        <v>48</v>
      </c>
      <c r="C41" s="29">
        <v>1</v>
      </c>
      <c r="D41" s="12">
        <v>1000000</v>
      </c>
      <c r="E41" s="31">
        <f t="shared" ref="E41:E42" si="2">D41*C41</f>
        <v>1000000</v>
      </c>
    </row>
    <row r="42" spans="1:5" s="3" customFormat="1">
      <c r="A42" s="28">
        <v>3</v>
      </c>
      <c r="B42" s="10" t="s">
        <v>34</v>
      </c>
      <c r="C42" s="29">
        <v>12</v>
      </c>
      <c r="D42" s="12">
        <v>150000</v>
      </c>
      <c r="E42" s="31">
        <f t="shared" si="2"/>
        <v>1800000</v>
      </c>
    </row>
    <row r="43" spans="1:5" s="2" customFormat="1">
      <c r="A43" s="37"/>
      <c r="B43" s="38"/>
      <c r="C43" s="39"/>
      <c r="D43" s="40"/>
      <c r="E43" s="70">
        <f>SUM(E40:E42)</f>
        <v>11800000</v>
      </c>
    </row>
    <row r="44" spans="1:5" s="8" customFormat="1" ht="23.1" customHeight="1">
      <c r="A44" s="57" t="s">
        <v>5</v>
      </c>
      <c r="B44" s="58" t="s">
        <v>35</v>
      </c>
      <c r="C44" s="59" t="s">
        <v>4</v>
      </c>
      <c r="D44" s="60" t="s">
        <v>3</v>
      </c>
      <c r="E44" s="61" t="s">
        <v>6</v>
      </c>
    </row>
    <row r="45" spans="1:5" s="3" customFormat="1" ht="24">
      <c r="A45" s="44">
        <v>1</v>
      </c>
      <c r="B45" s="45" t="s">
        <v>50</v>
      </c>
      <c r="C45" s="46">
        <v>1</v>
      </c>
      <c r="D45" s="47">
        <v>4800000</v>
      </c>
      <c r="E45" s="48">
        <f>D45*C45</f>
        <v>4800000</v>
      </c>
    </row>
    <row r="46" spans="1:5" s="2" customFormat="1">
      <c r="A46" s="49"/>
      <c r="B46" s="50"/>
      <c r="C46" s="51"/>
      <c r="D46" s="52"/>
      <c r="E46" s="71">
        <f>SUM(E45:E45)</f>
        <v>4800000</v>
      </c>
    </row>
    <row r="47" spans="1:5" s="2" customFormat="1" ht="23.1" customHeight="1">
      <c r="A47" s="57" t="s">
        <v>5</v>
      </c>
      <c r="B47" s="62" t="s">
        <v>19</v>
      </c>
      <c r="C47" s="59" t="s">
        <v>4</v>
      </c>
      <c r="D47" s="63" t="s">
        <v>3</v>
      </c>
      <c r="E47" s="64" t="s">
        <v>6</v>
      </c>
    </row>
    <row r="48" spans="1:5" s="5" customFormat="1">
      <c r="A48" s="56">
        <v>1</v>
      </c>
      <c r="B48" s="33" t="s">
        <v>37</v>
      </c>
      <c r="C48" s="34">
        <v>1</v>
      </c>
      <c r="D48" s="35">
        <v>1700000</v>
      </c>
      <c r="E48" s="36">
        <f>D48*C48</f>
        <v>1700000</v>
      </c>
    </row>
    <row r="49" spans="1:5" s="5" customFormat="1">
      <c r="A49" s="56">
        <v>1</v>
      </c>
      <c r="B49" s="33" t="s">
        <v>36</v>
      </c>
      <c r="C49" s="34">
        <v>1</v>
      </c>
      <c r="D49" s="35">
        <v>1600000</v>
      </c>
      <c r="E49" s="36">
        <f>D49*C49</f>
        <v>1600000</v>
      </c>
    </row>
    <row r="50" spans="1:5" s="5" customFormat="1">
      <c r="A50" s="56">
        <v>2</v>
      </c>
      <c r="B50" s="33" t="s">
        <v>38</v>
      </c>
      <c r="C50" s="34">
        <v>20</v>
      </c>
      <c r="D50" s="35">
        <v>100000</v>
      </c>
      <c r="E50" s="36">
        <f>D50*C50</f>
        <v>2000000</v>
      </c>
    </row>
    <row r="51" spans="1:5" s="5" customFormat="1">
      <c r="A51" s="77"/>
      <c r="B51" s="78"/>
      <c r="C51" s="79"/>
      <c r="D51" s="80"/>
      <c r="E51" s="72">
        <f>SUM(E48:E50)</f>
        <v>5300000</v>
      </c>
    </row>
    <row r="52" spans="1:5" s="6" customFormat="1" ht="23.1" customHeight="1">
      <c r="A52" s="57" t="s">
        <v>5</v>
      </c>
      <c r="B52" s="62" t="s">
        <v>20</v>
      </c>
      <c r="C52" s="59" t="s">
        <v>4</v>
      </c>
      <c r="D52" s="63" t="s">
        <v>3</v>
      </c>
      <c r="E52" s="64" t="s">
        <v>6</v>
      </c>
    </row>
    <row r="53" spans="1:5" s="6" customFormat="1" ht="36" customHeight="1">
      <c r="A53" s="56">
        <v>1</v>
      </c>
      <c r="B53" s="33" t="s">
        <v>76</v>
      </c>
      <c r="C53" s="34">
        <v>3</v>
      </c>
      <c r="D53" s="35">
        <v>8000000</v>
      </c>
      <c r="E53" s="36">
        <f t="shared" ref="E53" si="3">D53*C53</f>
        <v>24000000</v>
      </c>
    </row>
    <row r="54" spans="1:5" s="6" customFormat="1" ht="25.5">
      <c r="A54" s="56">
        <v>2</v>
      </c>
      <c r="B54" s="33" t="s">
        <v>71</v>
      </c>
      <c r="C54" s="34">
        <v>4</v>
      </c>
      <c r="D54" s="35">
        <v>300000</v>
      </c>
      <c r="E54" s="36">
        <f t="shared" ref="E54" si="4">D54*C54</f>
        <v>1200000</v>
      </c>
    </row>
    <row r="55" spans="1:5" s="6" customFormat="1" ht="18.75">
      <c r="A55" s="94">
        <v>4</v>
      </c>
      <c r="B55" s="95" t="s">
        <v>51</v>
      </c>
      <c r="C55" s="96">
        <v>6</v>
      </c>
      <c r="D55" s="97">
        <v>350000</v>
      </c>
      <c r="E55" s="98">
        <f t="shared" ref="E55" si="5">D55*C55</f>
        <v>2100000</v>
      </c>
    </row>
    <row r="56" spans="1:5" s="6" customFormat="1" ht="18.75">
      <c r="A56" s="77"/>
      <c r="B56" s="78"/>
      <c r="C56" s="79"/>
      <c r="D56" s="80"/>
      <c r="E56" s="72">
        <f>SUM(E53:E55)</f>
        <v>27300000</v>
      </c>
    </row>
    <row r="57" spans="1:5" s="6" customFormat="1" ht="23.1" customHeight="1">
      <c r="A57" s="26" t="s">
        <v>5</v>
      </c>
      <c r="B57" s="53" t="s">
        <v>52</v>
      </c>
      <c r="C57" s="27" t="s">
        <v>4</v>
      </c>
      <c r="D57" s="54" t="s">
        <v>3</v>
      </c>
      <c r="E57" s="55" t="s">
        <v>6</v>
      </c>
    </row>
    <row r="58" spans="1:5" s="6" customFormat="1" ht="18.75">
      <c r="A58" s="56">
        <v>1</v>
      </c>
      <c r="B58" s="33" t="s">
        <v>57</v>
      </c>
      <c r="C58" s="34">
        <v>1</v>
      </c>
      <c r="D58" s="35">
        <v>500000</v>
      </c>
      <c r="E58" s="36">
        <f t="shared" ref="E58:E60" si="6">D58*C58</f>
        <v>500000</v>
      </c>
    </row>
    <row r="59" spans="1:5" s="6" customFormat="1" ht="18.75">
      <c r="A59" s="56">
        <v>2</v>
      </c>
      <c r="B59" s="33" t="s">
        <v>56</v>
      </c>
      <c r="C59" s="34">
        <v>1</v>
      </c>
      <c r="D59" s="35">
        <v>700000</v>
      </c>
      <c r="E59" s="36">
        <f t="shared" si="6"/>
        <v>700000</v>
      </c>
    </row>
    <row r="60" spans="1:5" s="6" customFormat="1" ht="18.75">
      <c r="A60" s="56">
        <v>3</v>
      </c>
      <c r="B60" s="33" t="s">
        <v>53</v>
      </c>
      <c r="C60" s="34">
        <v>1</v>
      </c>
      <c r="D60" s="35">
        <v>550000</v>
      </c>
      <c r="E60" s="36">
        <f t="shared" si="6"/>
        <v>550000</v>
      </c>
    </row>
    <row r="61" spans="1:5" s="6" customFormat="1" ht="18.75">
      <c r="A61" s="56">
        <v>4</v>
      </c>
      <c r="B61" s="33" t="s">
        <v>54</v>
      </c>
      <c r="C61" s="34">
        <v>1</v>
      </c>
      <c r="D61" s="35">
        <v>350000</v>
      </c>
      <c r="E61" s="36">
        <f t="shared" ref="E61:E63" si="7">D61*C61</f>
        <v>350000</v>
      </c>
    </row>
    <row r="62" spans="1:5" s="6" customFormat="1" ht="18.75">
      <c r="A62" s="56">
        <v>5</v>
      </c>
      <c r="B62" s="33" t="s">
        <v>55</v>
      </c>
      <c r="C62" s="34">
        <v>1</v>
      </c>
      <c r="D62" s="35">
        <v>300000</v>
      </c>
      <c r="E62" s="36">
        <f t="shared" si="7"/>
        <v>300000</v>
      </c>
    </row>
    <row r="63" spans="1:5" s="6" customFormat="1" ht="18.75">
      <c r="A63" s="56">
        <v>6</v>
      </c>
      <c r="B63" s="33" t="s">
        <v>58</v>
      </c>
      <c r="C63" s="34">
        <v>1</v>
      </c>
      <c r="D63" s="35">
        <v>800000</v>
      </c>
      <c r="E63" s="36">
        <f t="shared" si="7"/>
        <v>800000</v>
      </c>
    </row>
    <row r="64" spans="1:5" s="6" customFormat="1" ht="18.75">
      <c r="A64" s="56">
        <v>7</v>
      </c>
      <c r="B64" s="33" t="s">
        <v>59</v>
      </c>
      <c r="C64" s="34">
        <v>1</v>
      </c>
      <c r="D64" s="35">
        <v>500000</v>
      </c>
      <c r="E64" s="36">
        <f t="shared" ref="E64" si="8">D64*C64</f>
        <v>500000</v>
      </c>
    </row>
    <row r="65" spans="1:5" s="6" customFormat="1" ht="18.75">
      <c r="A65" s="56">
        <v>8</v>
      </c>
      <c r="B65" s="33" t="s">
        <v>61</v>
      </c>
      <c r="C65" s="34">
        <v>1</v>
      </c>
      <c r="D65" s="35">
        <v>300000</v>
      </c>
      <c r="E65" s="36">
        <f t="shared" ref="E65" si="9">D65*C65</f>
        <v>300000</v>
      </c>
    </row>
    <row r="66" spans="1:5" s="6" customFormat="1" ht="18.75">
      <c r="A66" s="77"/>
      <c r="B66" s="78"/>
      <c r="C66" s="79"/>
      <c r="D66" s="80"/>
      <c r="E66" s="72">
        <f>SUM(E58:E65)</f>
        <v>4000000</v>
      </c>
    </row>
    <row r="67" spans="1:5" s="7" customFormat="1" ht="23.1" customHeight="1">
      <c r="A67" s="57" t="s">
        <v>5</v>
      </c>
      <c r="B67" s="62" t="s">
        <v>26</v>
      </c>
      <c r="C67" s="59" t="s">
        <v>4</v>
      </c>
      <c r="D67" s="63" t="s">
        <v>3</v>
      </c>
      <c r="E67" s="64" t="s">
        <v>6</v>
      </c>
    </row>
    <row r="68" spans="1:5" s="7" customFormat="1" ht="18.75">
      <c r="A68" s="56">
        <v>1</v>
      </c>
      <c r="B68" s="33" t="s">
        <v>21</v>
      </c>
      <c r="C68" s="34">
        <v>1</v>
      </c>
      <c r="D68" s="35">
        <v>2000000</v>
      </c>
      <c r="E68" s="36">
        <f>D68*C68</f>
        <v>2000000</v>
      </c>
    </row>
    <row r="69" spans="1:5" s="7" customFormat="1" ht="18.75">
      <c r="A69" s="81"/>
      <c r="B69" s="82"/>
      <c r="C69" s="82"/>
      <c r="D69" s="82"/>
      <c r="E69" s="73">
        <f>SUM(E68:E68)</f>
        <v>2000000</v>
      </c>
    </row>
    <row r="70" spans="1:5" s="7" customFormat="1" ht="19.5" thickBot="1">
      <c r="A70" s="17"/>
      <c r="B70" s="13"/>
      <c r="C70" s="13"/>
      <c r="D70" s="13"/>
      <c r="E70" s="18"/>
    </row>
    <row r="71" spans="1:5" s="1" customFormat="1" ht="13.5">
      <c r="A71" s="19"/>
      <c r="B71" s="14" t="s">
        <v>24</v>
      </c>
      <c r="C71" s="15"/>
      <c r="D71" s="21" t="s">
        <v>22</v>
      </c>
      <c r="E71" s="22">
        <f>SUM(E26+E38+E43+E46+E51+E56+E66+E69)</f>
        <v>86580000</v>
      </c>
    </row>
    <row r="72" spans="1:5" s="1" customFormat="1" ht="13.5">
      <c r="A72" s="20"/>
      <c r="B72" s="16" t="s">
        <v>75</v>
      </c>
      <c r="C72" s="15"/>
      <c r="D72" s="74" t="s">
        <v>60</v>
      </c>
      <c r="E72" s="75">
        <v>-12000000</v>
      </c>
    </row>
    <row r="73" spans="1:5" s="1" customFormat="1" ht="35.85" customHeight="1" thickBot="1">
      <c r="A73" s="19"/>
      <c r="B73" s="110" t="s">
        <v>74</v>
      </c>
      <c r="C73" s="15"/>
      <c r="D73" s="103" t="s">
        <v>23</v>
      </c>
      <c r="E73" s="104">
        <f>E71+E72</f>
        <v>74580000</v>
      </c>
    </row>
    <row r="74" spans="1:5" ht="126" customHeight="1" thickBot="1">
      <c r="A74" s="105" t="s">
        <v>72</v>
      </c>
      <c r="B74" s="106"/>
      <c r="C74" s="106"/>
      <c r="D74" s="106"/>
      <c r="E74" s="107"/>
    </row>
  </sheetData>
  <mergeCells count="11">
    <mergeCell ref="A51:D51"/>
    <mergeCell ref="A56:D56"/>
    <mergeCell ref="A69:D69"/>
    <mergeCell ref="A74:E74"/>
    <mergeCell ref="A1:E1"/>
    <mergeCell ref="C2:E4"/>
    <mergeCell ref="B8:B9"/>
    <mergeCell ref="A10:E10"/>
    <mergeCell ref="D11:E11"/>
    <mergeCell ref="C5:E9"/>
    <mergeCell ref="A66:D66"/>
  </mergeCells>
  <hyperlinks>
    <hyperlink ref="B5" r:id="rId1" xr:uid="{34160253-7D54-4590-BEFA-4218CAA64ED9}"/>
    <hyperlink ref="B73" r:id="rId2" xr:uid="{BE0F23BC-E3EF-46E6-BE15-84DD6DDF3496}"/>
    <hyperlink ref="B6" r:id="rId3" xr:uid="{738145C0-746C-45CA-A8B7-93C1FD670126}"/>
  </hyperlinks>
  <pageMargins left="0.7" right="0.7" top="0.75" bottom="0.75" header="0.3" footer="0.3"/>
  <pageSetup paperSize="9" scale="80" fitToHeight="0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Cotización</vt:lpstr>
      <vt:lpstr>Cotización!Área_de_impresión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Lorcy Atencio</cp:lastModifiedBy>
  <cp:lastPrinted>2026-09-04T21:48:29Z</cp:lastPrinted>
  <dcterms:created xsi:type="dcterms:W3CDTF">2023-10-30T17:28:55Z</dcterms:created>
  <dcterms:modified xsi:type="dcterms:W3CDTF">2026-09-04T22:01:40Z</dcterms:modified>
</cp:coreProperties>
</file>