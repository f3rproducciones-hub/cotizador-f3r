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13_ncr:1_{66B60018-C31E-4202-96D3-CC09FDED48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" sheetId="2" r:id="rId1"/>
  </sheets>
  <definedNames>
    <definedName name="_xlnm.Print_Area" localSheetId="0">Cotización!$A$1:$E$25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18" i="2"/>
  <c r="E14" i="2"/>
  <c r="E13" i="2"/>
  <c r="E15" i="2" s="1"/>
  <c r="F24" i="2"/>
  <c r="E17" i="2"/>
  <c r="E19" i="2" s="1"/>
  <c r="G24" i="2" l="1"/>
  <c r="G19" i="2"/>
  <c r="C2" i="2"/>
  <c r="E2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<sst xmlns="http://schemas.openxmlformats.org/spreadsheetml/2006/main" count="48" uniqueCount="38">
  <si>
    <t>DATOS DEL CLIENTE</t>
  </si>
  <si>
    <t>NIT</t>
  </si>
  <si>
    <t>Dirección:</t>
  </si>
  <si>
    <t>Valor Unitario</t>
  </si>
  <si>
    <t>Cantidad</t>
  </si>
  <si>
    <t>Item</t>
  </si>
  <si>
    <t>Valor Total</t>
  </si>
  <si>
    <t>Cuenta Ahorros Bancolombia</t>
  </si>
  <si>
    <t>WhatsApp</t>
  </si>
  <si>
    <t>Forma de pago</t>
  </si>
  <si>
    <t xml:space="preserve">RAZON SOCIAL: </t>
  </si>
  <si>
    <t xml:space="preserve">Contado </t>
  </si>
  <si>
    <t>A nombre de:</t>
  </si>
  <si>
    <t>ESCUELA NAVAL DE CADETES ALMIRANTE PADILLA - ENAP</t>
  </si>
  <si>
    <t>800.141.648-9</t>
  </si>
  <si>
    <t>Subtotal</t>
  </si>
  <si>
    <t>Total</t>
  </si>
  <si>
    <t>F3R Producciones</t>
  </si>
  <si>
    <t>Francisco Ricaurte</t>
  </si>
  <si>
    <t>f3rproducciones@gmail.com</t>
  </si>
  <si>
    <t>Sillas Rimax</t>
  </si>
  <si>
    <t>Transporte</t>
  </si>
  <si>
    <t>UTILIDAD</t>
  </si>
  <si>
    <t>DECORFIESTA</t>
  </si>
  <si>
    <t>PROVEEDOR</t>
  </si>
  <si>
    <t>Fabio</t>
  </si>
  <si>
    <t>902106670-3</t>
  </si>
  <si>
    <t>Diagonal 31 80b75 Of 501</t>
  </si>
  <si>
    <t>333 434 0735</t>
  </si>
  <si>
    <r>
      <t>C</t>
    </r>
    <r>
      <rPr>
        <sz val="5"/>
        <color rgb="FF686868"/>
        <rFont val="Arial MT"/>
      </rPr>
      <t>ONDICIONES COMERCIALES
**1. Anticipo y pago:** La reserva de fecha, equipos y personal se formaliza con un anticipo mínimo del **30%**. El saldo deberá pagarse **8 días calendario antes del evento**, salvo acuerdo escrito. El incumplimiento facultará a **F3R Producciones S.A.S.** para suspender o cancelar el servicio, sin responsabilidad por las consecuencias derivadas del incumplimiento del cliente.
**2. Aceptación:** La contratación se entenderá perfeccionada mediante firma, orden de compra, correo electrónico, WhatsApp, pago del anticipo o cualquier medio verificable de aceptación.
**3. Vigencia:** La cotización tendrá una vigencia de **8 días calendario** y estará sujeta a disponibilidad. Vencido este plazo, precios y condiciones podrán modificarse.
**4. Alcance y adicionales:** El valor cotizado comprende únicamente lo expresamente indicado. Horas adicionales, cambios de horario, equipos, personal, transporte o servicios no incluidos serán cobrados adicionalmente.
**5. Recursos reservados:** Los equipos, personal, transporte y demás recursos específicamente reservados o movilizados serán facturables, aunque no sean utilizados por causas no imputables a F3R.
**6. Cancelaciones:** La cancelación generará cargos según la proximidad al evento: **30% entre 15 y 8 días; 50% entre 7 y 3 días; y 70% dentro de las 72 horas o iniciado el cargue, transporte o montaje**, además de los costos efectivamente causados y no recuperables.
**7. Daños y pérdidas:** El contratante responderá por daños, pérdida o hurto de equipos y elementos de F3R ocasionados por él, sus invitados, proveedores o terceros bajo su responsabilidad, asumiendo los costos de reparación o reposición.
**8. Lugar y condiciones técnicas:** El contratante deberá garantizar acceso, seguridad, espacio de montaje, permisos y condiciones adecuadas de energía e infraestructura. F3R no responderá por fallas atribuibles al recinto, terceros o servicios no controlados directamente por F3R.
**9. Fuerza mayor:** F3R no será responsable por hechos imprevisibles, irresistibles o ajenos a su control. Las partes podrán acordar una reprogramación, sujeta a disponibilidad y ajustes de costos.
**10. Alimentación y condiciones del personal:** Cuando la duración o características del servicio lo requieran, el contratante deberá garantizar alimentación, hidratación y condiciones adecuadas para el personal técnico y operativo, salvo que estén incluidas en la cotización.
**11. Registro audiovisual:** Salvo prohibición expresa y escrita previa al evento, F3R podrá utilizar fotografías y videos generales del montaje y evento para portafolio y promoción comercial, respetando los derechos de terceros.
**12. Responsabilidad:** F3R responderá exclusivamente por las obligaciones directamente asumidas en la cotización o contrato. No será responsable por hechos atribuibles al contratante, terceros, condiciones del lugar, fuerza mayor o circunstancias ajenas a su control, dentro de los límites permitidos por la legislación colombiana.
**13. Legislación:** Estas condiciones se regirán por la legislación colombiana. Las controversias procurarán resolverse inicialmente mediante arreglo directo y, de no ser posible, ante las autoridades competentes.
**La aceptación de la cotización implica la aceptación integral de estas condiciones comerciales.**</t>
    </r>
  </si>
  <si>
    <t>Total Utilidad</t>
  </si>
  <si>
    <t>Total Proveedores</t>
  </si>
  <si>
    <t>Compra 2 Botellas de Tequila</t>
  </si>
  <si>
    <t>Compra 1 Botellas de Aguardiente amarillo</t>
  </si>
  <si>
    <t xml:space="preserve">COTIZACIÓN C-V1-1006 Adicionales #2 Family Day </t>
  </si>
  <si>
    <t>Catering LIL SILVIO</t>
  </si>
  <si>
    <t>SILLAS ADICIONALES</t>
  </si>
  <si>
    <t>788 000 169-77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</si>
</sst>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4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sz val="10"/>
      <color rgb="FF2C2C2C"/>
      <name val="Aptos"/>
      <family val="2"/>
    </font>
    <font>
      <b/>
      <sz val="10"/>
      <color rgb="FF9A7628"/>
      <name val="Aptos"/>
      <family val="2"/>
    </font>
    <font>
      <b/>
      <sz val="10"/>
      <color rgb="FF303030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9"/>
      <name val="Arial MT"/>
    </font>
    <font>
      <sz val="10"/>
      <color rgb="FF303030"/>
      <name val="Arial MT"/>
    </font>
    <font>
      <b/>
      <sz val="10"/>
      <color rgb="FF171717"/>
      <name val="Arial MT"/>
    </font>
    <font>
      <sz val="10"/>
      <color rgb="FF2C2C2C"/>
      <name val="Arial MT"/>
    </font>
    <font>
      <b/>
      <sz val="10"/>
      <color rgb="FF303030"/>
      <name val="Arial MT"/>
    </font>
    <font>
      <b/>
      <sz val="10"/>
      <color rgb="FF2C2C2C"/>
      <name val="Arial MT"/>
    </font>
    <font>
      <b/>
      <sz val="10"/>
      <color rgb="FFFFFFFF"/>
      <name val="Arial MT"/>
    </font>
    <font>
      <sz val="9"/>
      <color rgb="FF000000"/>
      <name val="Arial MT"/>
    </font>
    <font>
      <b/>
      <sz val="18"/>
      <color rgb="FFCC9900"/>
      <name val="Arial MT"/>
    </font>
    <font>
      <b/>
      <sz val="10"/>
      <color rgb="FFCC9900"/>
      <name val="Arial MT"/>
    </font>
    <font>
      <b/>
      <sz val="10"/>
      <color rgb="FFFF0000"/>
      <name val="Aptos"/>
      <family val="2"/>
    </font>
    <font>
      <b/>
      <sz val="10"/>
      <color theme="1"/>
      <name val="Arial MT"/>
    </font>
    <font>
      <b/>
      <sz val="11"/>
      <color rgb="FFCC9900"/>
      <name val="Arial MT"/>
    </font>
    <font>
      <sz val="6"/>
      <color rgb="FF686868"/>
      <name val="Arial MT"/>
    </font>
    <font>
      <u/>
      <sz val="10"/>
      <color theme="10"/>
      <name val="Times New Roman"/>
      <family val="1"/>
    </font>
    <font>
      <u/>
      <sz val="12"/>
      <color theme="10"/>
      <name val="Times New Roman"/>
      <family val="1"/>
    </font>
    <font>
      <u/>
      <sz val="10"/>
      <color theme="10"/>
      <name val="Arial mt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0"/>
      <color rgb="FFCC9900"/>
      <name val="Arial"/>
      <family val="2"/>
    </font>
    <font>
      <sz val="10"/>
      <color rgb="FF996600"/>
      <name val="Arial"/>
      <family val="2"/>
    </font>
    <font>
      <b/>
      <sz val="12"/>
      <color rgb="FF996600"/>
      <name val="Arial"/>
      <family val="2"/>
    </font>
    <font>
      <b/>
      <u/>
      <sz val="12"/>
      <color theme="10"/>
      <name val="Arial"/>
      <family val="2"/>
    </font>
    <font>
      <sz val="5"/>
      <color rgb="FF686868"/>
      <name val="Arial MT"/>
    </font>
    <font>
      <b/>
      <sz val="10"/>
      <color rgb="FFCC9900"/>
      <name val="Aptos"/>
      <family val="2"/>
    </font>
    <font>
      <b/>
      <sz val="10"/>
      <color rgb="FFFF0000"/>
      <name val="Arial MT"/>
    </font>
    <font>
      <sz val="10"/>
      <color theme="1"/>
      <name val="Arial M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9900"/>
        <bgColor indexed="64"/>
      </patternFill>
    </fill>
  </fills>
  <borders count="21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  <xf numFmtId="164" fontId="3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left" vertical="top" wrapText="1"/>
    </xf>
    <xf numFmtId="164" fontId="4" fillId="0" borderId="0" xfId="1" applyNumberFormat="1" applyFont="1" applyAlignment="1">
      <alignment horizontal="left" vertical="top" wrapText="1"/>
    </xf>
    <xf numFmtId="164" fontId="29" fillId="0" borderId="0" xfId="1" applyNumberFormat="1" applyFont="1" applyAlignment="1">
      <alignment horizontal="left" vertical="center"/>
    </xf>
    <xf numFmtId="0" fontId="30" fillId="0" borderId="0" xfId="0" applyFont="1" applyAlignment="1">
      <alignment horizontal="left" vertical="top"/>
    </xf>
    <xf numFmtId="164" fontId="30" fillId="0" borderId="0" xfId="1" applyNumberFormat="1" applyFont="1" applyAlignment="1">
      <alignment horizontal="left" vertical="top"/>
    </xf>
    <xf numFmtId="0" fontId="30" fillId="0" borderId="0" xfId="0" applyFont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0" fontId="31" fillId="0" borderId="0" xfId="0" applyFont="1"/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32" fillId="0" borderId="5" xfId="0" applyFont="1" applyBorder="1" applyAlignment="1">
      <alignment horizontal="center" vertical="center"/>
    </xf>
    <xf numFmtId="165" fontId="30" fillId="0" borderId="5" xfId="0" applyNumberFormat="1" applyFont="1" applyBorder="1" applyAlignment="1">
      <alignment horizontal="right" vertical="top"/>
    </xf>
    <xf numFmtId="164" fontId="30" fillId="0" borderId="6" xfId="1" applyNumberFormat="1" applyFont="1" applyBorder="1" applyAlignment="1">
      <alignment horizontal="center" vertical="center"/>
    </xf>
    <xf numFmtId="164" fontId="33" fillId="0" borderId="6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7" fillId="3" borderId="0" xfId="2" applyFont="1" applyFill="1" applyBorder="1" applyAlignment="1">
      <alignment horizontal="left" vertical="center"/>
    </xf>
    <xf numFmtId="0" fontId="26" fillId="3" borderId="0" xfId="2" applyFill="1" applyBorder="1" applyAlignment="1">
      <alignment horizontal="left" vertical="center"/>
    </xf>
    <xf numFmtId="0" fontId="32" fillId="7" borderId="5" xfId="0" applyFont="1" applyFill="1" applyBorder="1" applyAlignment="1">
      <alignment horizontal="center" vertical="center"/>
    </xf>
    <xf numFmtId="165" fontId="33" fillId="0" borderId="1" xfId="0" applyNumberFormat="1" applyFont="1" applyBorder="1" applyAlignment="1">
      <alignment horizontal="left" vertical="center"/>
    </xf>
    <xf numFmtId="164" fontId="30" fillId="0" borderId="0" xfId="1" applyNumberFormat="1" applyFont="1" applyBorder="1" applyAlignment="1">
      <alignment horizontal="center" vertical="center"/>
    </xf>
    <xf numFmtId="165" fontId="30" fillId="0" borderId="0" xfId="0" applyNumberFormat="1" applyFont="1" applyAlignment="1">
      <alignment horizontal="left" vertical="top"/>
    </xf>
    <xf numFmtId="0" fontId="17" fillId="2" borderId="7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3" fontId="18" fillId="6" borderId="7" xfId="0" applyNumberFormat="1" applyFont="1" applyFill="1" applyBorder="1" applyAlignment="1">
      <alignment horizontal="center" vertical="center"/>
    </xf>
    <xf numFmtId="165" fontId="18" fillId="6" borderId="7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top" wrapText="1"/>
    </xf>
    <xf numFmtId="1" fontId="19" fillId="0" borderId="7" xfId="0" applyNumberFormat="1" applyFont="1" applyBorder="1" applyAlignment="1">
      <alignment horizontal="center" vertical="top" shrinkToFit="1"/>
    </xf>
    <xf numFmtId="164" fontId="40" fillId="0" borderId="7" xfId="1" applyNumberFormat="1" applyFont="1" applyBorder="1" applyAlignment="1">
      <alignment vertical="center" shrinkToFit="1"/>
    </xf>
    <xf numFmtId="166" fontId="19" fillId="0" borderId="7" xfId="0" applyNumberFormat="1" applyFont="1" applyBorder="1" applyAlignment="1">
      <alignment horizontal="right" vertical="top" shrinkToFit="1"/>
    </xf>
    <xf numFmtId="0" fontId="17" fillId="5" borderId="7" xfId="0" applyFont="1" applyFill="1" applyBorder="1" applyAlignment="1">
      <alignment horizontal="left" vertical="center" wrapText="1"/>
    </xf>
    <xf numFmtId="3" fontId="17" fillId="5" borderId="7" xfId="0" applyNumberFormat="1" applyFont="1" applyFill="1" applyBorder="1" applyAlignment="1">
      <alignment horizontal="center" vertical="center"/>
    </xf>
    <xf numFmtId="165" fontId="17" fillId="5" borderId="7" xfId="1" applyNumberFormat="1" applyFont="1" applyFill="1" applyBorder="1" applyAlignment="1">
      <alignment horizontal="right" vertical="center"/>
    </xf>
    <xf numFmtId="0" fontId="39" fillId="5" borderId="7" xfId="0" applyFont="1" applyFill="1" applyBorder="1" applyAlignment="1">
      <alignment horizontal="left" vertical="center"/>
    </xf>
    <xf numFmtId="0" fontId="34" fillId="0" borderId="7" xfId="0" applyFont="1" applyBorder="1" applyAlignment="1">
      <alignment horizontal="center" wrapText="1"/>
    </xf>
    <xf numFmtId="0" fontId="5" fillId="2" borderId="7" xfId="0" applyFont="1" applyFill="1" applyBorder="1" applyAlignment="1">
      <alignment horizontal="left" vertical="center"/>
    </xf>
    <xf numFmtId="0" fontId="35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165" fontId="7" fillId="2" borderId="7" xfId="0" applyNumberFormat="1" applyFont="1" applyFill="1" applyBorder="1" applyAlignment="1">
      <alignment horizontal="left" vertical="center"/>
    </xf>
    <xf numFmtId="0" fontId="36" fillId="0" borderId="7" xfId="2" applyFont="1" applyFill="1" applyBorder="1" applyAlignment="1">
      <alignment horizontal="center" vertical="center" wrapText="1"/>
    </xf>
    <xf numFmtId="165" fontId="22" fillId="2" borderId="7" xfId="0" applyNumberFormat="1" applyFont="1" applyFill="1" applyBorder="1" applyAlignment="1">
      <alignment horizontal="left" vertical="center"/>
    </xf>
    <xf numFmtId="0" fontId="28" fillId="0" borderId="7" xfId="2" applyFont="1" applyFill="1" applyBorder="1" applyAlignment="1">
      <alignment horizontal="center" vertical="center" wrapText="1"/>
    </xf>
    <xf numFmtId="165" fontId="11" fillId="2" borderId="7" xfId="0" applyNumberFormat="1" applyFont="1" applyFill="1" applyBorder="1" applyAlignment="1">
      <alignment horizontal="left" vertical="center"/>
    </xf>
    <xf numFmtId="0" fontId="24" fillId="6" borderId="8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left" vertical="center"/>
    </xf>
    <xf numFmtId="14" fontId="14" fillId="2" borderId="0" xfId="0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3" fillId="3" borderId="0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 vertical="center"/>
    </xf>
    <xf numFmtId="0" fontId="20" fillId="6" borderId="9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vertical="center"/>
    </xf>
    <xf numFmtId="0" fontId="14" fillId="2" borderId="13" xfId="0" applyFont="1" applyFill="1" applyBorder="1" applyAlignment="1">
      <alignment horizontal="right" vertical="center"/>
    </xf>
    <xf numFmtId="0" fontId="21" fillId="3" borderId="12" xfId="0" applyFont="1" applyFill="1" applyBorder="1" applyAlignment="1">
      <alignment horizontal="left" vertical="center"/>
    </xf>
    <xf numFmtId="0" fontId="21" fillId="3" borderId="12" xfId="0" applyFont="1" applyFill="1" applyBorder="1" applyAlignment="1">
      <alignment horizontal="left" vertical="center" wrapText="1"/>
    </xf>
    <xf numFmtId="0" fontId="15" fillId="3" borderId="13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vertical="center"/>
    </xf>
    <xf numFmtId="0" fontId="24" fillId="6" borderId="14" xfId="0" applyFont="1" applyFill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left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/>
    </xf>
    <xf numFmtId="165" fontId="18" fillId="6" borderId="17" xfId="1" applyNumberFormat="1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166" fontId="40" fillId="0" borderId="17" xfId="0" applyNumberFormat="1" applyFont="1" applyBorder="1" applyAlignment="1">
      <alignment vertical="center" shrinkToFit="1"/>
    </xf>
    <xf numFmtId="166" fontId="21" fillId="0" borderId="17" xfId="0" applyNumberFormat="1" applyFont="1" applyBorder="1" applyAlignment="1">
      <alignment vertical="center" shrinkToFit="1"/>
    </xf>
    <xf numFmtId="165" fontId="15" fillId="3" borderId="17" xfId="1" applyNumberFormat="1" applyFont="1" applyFill="1" applyBorder="1" applyAlignment="1">
      <alignment horizontal="right" vertical="center"/>
    </xf>
    <xf numFmtId="0" fontId="17" fillId="5" borderId="16" xfId="0" applyFont="1" applyFill="1" applyBorder="1" applyAlignment="1">
      <alignment horizontal="center" vertical="center"/>
    </xf>
    <xf numFmtId="165" fontId="21" fillId="4" borderId="17" xfId="1" applyNumberFormat="1" applyFont="1" applyFill="1" applyBorder="1" applyAlignment="1">
      <alignment horizontal="right" vertical="center" shrinkToFit="1"/>
    </xf>
    <xf numFmtId="0" fontId="39" fillId="5" borderId="16" xfId="0" applyFont="1" applyFill="1" applyBorder="1" applyAlignment="1">
      <alignment horizontal="left" vertical="center"/>
    </xf>
    <xf numFmtId="0" fontId="39" fillId="5" borderId="17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165" fontId="6" fillId="2" borderId="17" xfId="0" applyNumberFormat="1" applyFont="1" applyFill="1" applyBorder="1" applyAlignment="1">
      <alignment horizontal="right" vertical="center" shrinkToFit="1"/>
    </xf>
    <xf numFmtId="165" fontId="38" fillId="2" borderId="17" xfId="0" applyNumberFormat="1" applyFont="1" applyFill="1" applyBorder="1" applyAlignment="1">
      <alignment horizontal="right" vertical="center"/>
    </xf>
    <xf numFmtId="165" fontId="22" fillId="2" borderId="17" xfId="0" applyNumberFormat="1" applyFont="1" applyFill="1" applyBorder="1" applyAlignment="1">
      <alignment horizontal="right" vertical="center"/>
    </xf>
    <xf numFmtId="0" fontId="8" fillId="0" borderId="16" xfId="0" applyFont="1" applyBorder="1" applyAlignment="1">
      <alignment vertical="center" wrapText="1"/>
    </xf>
    <xf numFmtId="165" fontId="11" fillId="2" borderId="17" xfId="0" applyNumberFormat="1" applyFont="1" applyFill="1" applyBorder="1" applyAlignment="1">
      <alignment horizontal="right" vertical="center"/>
    </xf>
    <xf numFmtId="0" fontId="25" fillId="2" borderId="18" xfId="0" applyFont="1" applyFill="1" applyBorder="1" applyAlignment="1">
      <alignment horizontal="left" vertical="center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9900"/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468312</xdr:colOff>
      <xdr:row>3</xdr:row>
      <xdr:rowOff>0</xdr:rowOff>
    </xdr:from>
    <xdr:to>
      <xdr:col>5</xdr:col>
      <xdr:colOff>0</xdr:colOff>
      <xdr:row>9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DDBB9-04AB-BE5F-9027-07BD544AA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22896" r="5466" b="17282"/>
        <a:stretch>
          <a:fillRect/>
        </a:stretch>
      </xdr:blipFill>
      <xdr:spPr>
        <a:xfrm>
          <a:off x="5072062" y="777875"/>
          <a:ext cx="1881187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534105</xdr:colOff>
      <xdr:row>19</xdr:row>
      <xdr:rowOff>134939</xdr:rowOff>
    </xdr:from>
    <xdr:to>
      <xdr:col>1</xdr:col>
      <xdr:colOff>2262187</xdr:colOff>
      <xdr:row>22</xdr:row>
      <xdr:rowOff>58739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BC9F8-08FF-9613-DA2D-CFAED5EF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355" y="5135564"/>
          <a:ext cx="1728082" cy="733425"/>
        </a:xfrm>
        <a:prstGeom prst="rect">
          <a:avLst/>
        </a:prstGeom>
      </xdr:spPr>
    </xdr:pic>
    <xdr:clientData/>
  </xdr:twoCellAnchor>
  <xdr:oneCellAnchor>
    <xdr:from>
      <xdr:col>1</xdr:col>
      <xdr:colOff>687130</xdr:colOff>
      <xdr:row>21</xdr:row>
      <xdr:rowOff>14496</xdr:rowOff>
    </xdr:from>
    <xdr:ext cx="1424940" cy="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2B1734C0-9B3D-4D04-A7AF-51A01110D780}"/>
            </a:ext>
          </a:extLst>
        </xdr:cNvPr>
        <xdr:cNvSpPr/>
      </xdr:nvSpPr>
      <xdr:spPr>
        <a:xfrm>
          <a:off x="1934905" y="11663571"/>
          <a:ext cx="1424940" cy="0"/>
        </a:xfrm>
        <a:custGeom>
          <a:avLst/>
          <a:gdLst/>
          <a:ahLst/>
          <a:cxnLst/>
          <a:rect l="0" t="0" r="0" b="0"/>
          <a:pathLst>
            <a:path w="1424940">
              <a:moveTo>
                <a:pt x="0" y="0"/>
              </a:moveTo>
              <a:lnTo>
                <a:pt x="1424940" y="0"/>
              </a:lnTo>
            </a:path>
          </a:pathLst>
        </a:custGeom>
        <a:ln w="4418">
          <a:solidFill>
            <a:srgbClr val="676767"/>
          </a:solidFill>
        </a:ln>
      </xdr:spPr>
    </xdr:sp>
    <xdr:clientData/>
  </xdr:oneCellAnchor>
  <xdr:twoCellAnchor editAs="oneCell">
    <xdr:from>
      <xdr:col>1</xdr:col>
      <xdr:colOff>692150</xdr:colOff>
      <xdr:row>21</xdr:row>
      <xdr:rowOff>163512</xdr:rowOff>
    </xdr:from>
    <xdr:to>
      <xdr:col>1</xdr:col>
      <xdr:colOff>954086</xdr:colOff>
      <xdr:row>22</xdr:row>
      <xdr:rowOff>253998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588BB4-1CCC-43DA-8C6E-CDE47A12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608637"/>
          <a:ext cx="261936" cy="2968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/?phone=573334340735&amp;text&amp;type=phone_number&amp;app_absent=0" TargetMode="External"/><Relationship Id="rId2" Type="http://schemas.openxmlformats.org/officeDocument/2006/relationships/hyperlink" Target="https://api.whatsapp.com/send/?phone=573008150085&amp;text&amp;type=phone_number&amp;app_absent=0" TargetMode="External"/><Relationship Id="rId1" Type="http://schemas.openxmlformats.org/officeDocument/2006/relationships/hyperlink" Target="mailto:f3rproduccione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H25"/>
  <sheetViews>
    <sheetView tabSelected="1" zoomScale="120" zoomScaleNormal="120" zoomScaleSheetLayoutView="100" workbookViewId="0">
      <selection sqref="A1:E25"/>
    </sheetView>
  </sheetViews>
  <sheetFormatPr baseColWidth="10" defaultColWidth="9.5" defaultRowHeight="12.75"/>
  <cols>
    <col min="1" max="1" width="17.1640625" customWidth="1"/>
    <col min="2" max="2" width="50.1640625" customWidth="1"/>
    <col min="3" max="3" width="13.1640625" customWidth="1"/>
    <col min="4" max="4" width="22.6640625" customWidth="1"/>
    <col min="5" max="5" width="18.33203125" customWidth="1"/>
    <col min="6" max="6" width="25.83203125" style="20" hidden="1" customWidth="1"/>
    <col min="7" max="7" width="16.33203125" style="18" hidden="1" customWidth="1"/>
    <col min="8" max="8" width="16.33203125" style="7" customWidth="1"/>
  </cols>
  <sheetData>
    <row r="1" spans="1:8" ht="36" customHeight="1">
      <c r="A1" s="65" t="s">
        <v>34</v>
      </c>
      <c r="B1" s="66"/>
      <c r="C1" s="66"/>
      <c r="D1" s="66"/>
      <c r="E1" s="67"/>
    </row>
    <row r="2" spans="1:8" s="1" customFormat="1">
      <c r="A2" s="68" t="s">
        <v>10</v>
      </c>
      <c r="B2" s="59" t="s">
        <v>17</v>
      </c>
      <c r="C2" s="60">
        <f ca="1">TODAY()</f>
        <v>46301</v>
      </c>
      <c r="D2" s="61"/>
      <c r="E2" s="69"/>
      <c r="F2" s="19"/>
      <c r="G2" s="14"/>
      <c r="H2" s="8"/>
    </row>
    <row r="3" spans="1:8" s="1" customFormat="1">
      <c r="A3" s="70" t="s">
        <v>1</v>
      </c>
      <c r="B3" s="62" t="s">
        <v>26</v>
      </c>
      <c r="C3" s="61"/>
      <c r="D3" s="61"/>
      <c r="E3" s="69"/>
      <c r="F3" s="19"/>
      <c r="G3" s="14"/>
      <c r="H3" s="8"/>
    </row>
    <row r="4" spans="1:8" s="1" customFormat="1">
      <c r="A4" s="70" t="s">
        <v>2</v>
      </c>
      <c r="B4" s="62" t="s">
        <v>27</v>
      </c>
      <c r="C4" s="61"/>
      <c r="D4" s="61"/>
      <c r="E4" s="69"/>
      <c r="F4" s="19"/>
      <c r="G4" s="14"/>
      <c r="H4" s="8"/>
    </row>
    <row r="5" spans="1:8" s="1" customFormat="1" ht="25.5">
      <c r="A5" s="71" t="s">
        <v>18</v>
      </c>
      <c r="B5" s="29" t="s">
        <v>19</v>
      </c>
      <c r="C5" s="63"/>
      <c r="D5" s="63"/>
      <c r="E5" s="72"/>
      <c r="F5" s="19"/>
      <c r="G5" s="16"/>
      <c r="H5" s="17"/>
    </row>
    <row r="6" spans="1:8" s="1" customFormat="1">
      <c r="A6" s="70" t="s">
        <v>8</v>
      </c>
      <c r="B6" s="30" t="s">
        <v>28</v>
      </c>
      <c r="C6" s="63"/>
      <c r="D6" s="63"/>
      <c r="E6" s="72"/>
      <c r="F6" s="19"/>
      <c r="G6" s="14"/>
      <c r="H6" s="8"/>
    </row>
    <row r="7" spans="1:8" s="1" customFormat="1">
      <c r="A7" s="70" t="s">
        <v>9</v>
      </c>
      <c r="B7" s="62" t="s">
        <v>11</v>
      </c>
      <c r="C7" s="63"/>
      <c r="D7" s="63"/>
      <c r="E7" s="72"/>
      <c r="F7" s="19"/>
      <c r="G7" s="14"/>
      <c r="H7" s="8"/>
    </row>
    <row r="8" spans="1:8" s="2" customFormat="1">
      <c r="A8" s="68" t="s">
        <v>7</v>
      </c>
      <c r="B8" s="64" t="e" vm="1">
        <v>#VALUE!</v>
      </c>
      <c r="C8" s="63"/>
      <c r="D8" s="63"/>
      <c r="E8" s="72"/>
      <c r="F8" s="19"/>
      <c r="G8" s="14"/>
      <c r="H8" s="15"/>
    </row>
    <row r="9" spans="1:8" s="2" customFormat="1" ht="23.25" customHeight="1">
      <c r="A9" s="73" t="s">
        <v>37</v>
      </c>
      <c r="B9" s="64"/>
      <c r="C9" s="63"/>
      <c r="D9" s="63"/>
      <c r="E9" s="72"/>
      <c r="F9" s="19"/>
      <c r="G9" s="16"/>
      <c r="H9" s="15"/>
    </row>
    <row r="10" spans="1:8" s="1" customFormat="1" ht="24" customHeight="1">
      <c r="A10" s="74" t="s">
        <v>0</v>
      </c>
      <c r="B10" s="58"/>
      <c r="C10" s="58"/>
      <c r="D10" s="58"/>
      <c r="E10" s="75"/>
      <c r="F10" s="19"/>
      <c r="G10" s="14"/>
      <c r="H10" s="8"/>
    </row>
    <row r="11" spans="1:8" s="4" customFormat="1" ht="33.950000000000003" customHeight="1" thickBot="1">
      <c r="A11" s="76" t="s">
        <v>12</v>
      </c>
      <c r="B11" s="35" t="s">
        <v>13</v>
      </c>
      <c r="C11" s="36" t="s">
        <v>1</v>
      </c>
      <c r="D11" s="37" t="s">
        <v>14</v>
      </c>
      <c r="E11" s="77"/>
      <c r="F11" s="19"/>
      <c r="G11" s="16"/>
      <c r="H11" s="13"/>
    </row>
    <row r="12" spans="1:8" s="6" customFormat="1" ht="23.1" customHeight="1" thickBot="1">
      <c r="A12" s="78" t="s">
        <v>5</v>
      </c>
      <c r="B12" s="38" t="s">
        <v>36</v>
      </c>
      <c r="C12" s="39" t="s">
        <v>4</v>
      </c>
      <c r="D12" s="40" t="s">
        <v>3</v>
      </c>
      <c r="E12" s="79" t="s">
        <v>6</v>
      </c>
      <c r="F12" s="23" t="s">
        <v>24</v>
      </c>
      <c r="G12" s="23" t="s">
        <v>22</v>
      </c>
      <c r="H12" s="10"/>
    </row>
    <row r="13" spans="1:8" s="3" customFormat="1">
      <c r="A13" s="80">
        <v>1</v>
      </c>
      <c r="B13" s="41" t="s">
        <v>20</v>
      </c>
      <c r="C13" s="42">
        <v>275</v>
      </c>
      <c r="D13" s="43">
        <v>1500</v>
      </c>
      <c r="E13" s="81">
        <f>D13*C13</f>
        <v>412500</v>
      </c>
      <c r="F13" s="27" t="s">
        <v>23</v>
      </c>
      <c r="G13" s="21"/>
      <c r="H13" s="11"/>
    </row>
    <row r="14" spans="1:8" s="3" customFormat="1" ht="13.5" thickBot="1">
      <c r="A14" s="80">
        <v>2</v>
      </c>
      <c r="B14" s="41" t="s">
        <v>21</v>
      </c>
      <c r="C14" s="42">
        <v>1</v>
      </c>
      <c r="D14" s="43">
        <v>400000</v>
      </c>
      <c r="E14" s="81">
        <f>D14*C14</f>
        <v>400000</v>
      </c>
      <c r="F14" s="28"/>
      <c r="G14" s="22"/>
      <c r="H14" s="11"/>
    </row>
    <row r="15" spans="1:8" s="3" customFormat="1" ht="13.5" thickBot="1">
      <c r="A15" s="80"/>
      <c r="B15" s="41"/>
      <c r="C15" s="42"/>
      <c r="D15" s="43"/>
      <c r="E15" s="82">
        <f>SUM(E13:E14)</f>
        <v>812500</v>
      </c>
      <c r="F15" s="28"/>
      <c r="G15" s="22"/>
      <c r="H15" s="11"/>
    </row>
    <row r="16" spans="1:8" s="6" customFormat="1" ht="23.1" customHeight="1" thickBot="1">
      <c r="A16" s="78" t="s">
        <v>5</v>
      </c>
      <c r="B16" s="38" t="s">
        <v>35</v>
      </c>
      <c r="C16" s="39" t="s">
        <v>4</v>
      </c>
      <c r="D16" s="40" t="s">
        <v>3</v>
      </c>
      <c r="E16" s="79" t="s">
        <v>6</v>
      </c>
      <c r="F16" s="23" t="s">
        <v>24</v>
      </c>
      <c r="G16" s="23" t="s">
        <v>22</v>
      </c>
      <c r="H16" s="10"/>
    </row>
    <row r="17" spans="1:8" s="3" customFormat="1">
      <c r="A17" s="80">
        <v>1</v>
      </c>
      <c r="B17" s="41" t="s">
        <v>32</v>
      </c>
      <c r="C17" s="42">
        <v>2</v>
      </c>
      <c r="D17" s="44">
        <v>233000</v>
      </c>
      <c r="E17" s="83">
        <f>D17*C17</f>
        <v>466000</v>
      </c>
      <c r="F17" s="27" t="s">
        <v>25</v>
      </c>
      <c r="G17" s="21"/>
      <c r="H17" s="11"/>
    </row>
    <row r="18" spans="1:8" s="3" customFormat="1" ht="13.5" thickBot="1">
      <c r="A18" s="80">
        <v>2</v>
      </c>
      <c r="B18" s="41" t="s">
        <v>33</v>
      </c>
      <c r="C18" s="42">
        <v>1</v>
      </c>
      <c r="D18" s="44">
        <v>58000</v>
      </c>
      <c r="E18" s="83">
        <f>D18*C18</f>
        <v>58000</v>
      </c>
      <c r="F18" s="27" t="s">
        <v>25</v>
      </c>
      <c r="G18" s="21"/>
      <c r="H18" s="11"/>
    </row>
    <row r="19" spans="1:8" s="2" customFormat="1" ht="13.5" thickBot="1">
      <c r="A19" s="84"/>
      <c r="B19" s="45"/>
      <c r="C19" s="46"/>
      <c r="D19" s="47"/>
      <c r="E19" s="85">
        <f>SUM(E17:E18)</f>
        <v>524000</v>
      </c>
      <c r="F19" s="25">
        <v>5000000</v>
      </c>
      <c r="G19" s="24">
        <f>E19-F19</f>
        <v>-4476000</v>
      </c>
      <c r="H19" s="9"/>
    </row>
    <row r="20" spans="1:8" s="2" customFormat="1">
      <c r="A20" s="86"/>
      <c r="B20" s="48"/>
      <c r="C20" s="48"/>
      <c r="D20" s="48"/>
      <c r="E20" s="87"/>
      <c r="F20" s="33"/>
      <c r="G20" s="34"/>
      <c r="H20" s="9"/>
    </row>
    <row r="21" spans="1:8" s="5" customFormat="1" ht="35.25" customHeight="1">
      <c r="A21" s="88"/>
      <c r="B21" s="49"/>
      <c r="C21" s="50"/>
      <c r="D21" s="50"/>
      <c r="E21" s="89"/>
      <c r="H21" s="12"/>
    </row>
    <row r="22" spans="1:8" s="1" customFormat="1" ht="16.5" thickBot="1">
      <c r="A22" s="88"/>
      <c r="B22" s="51" t="s">
        <v>18</v>
      </c>
      <c r="C22" s="52"/>
      <c r="D22" s="53" t="s">
        <v>15</v>
      </c>
      <c r="E22" s="90">
        <f>SUM(E15+E19)</f>
        <v>1336500</v>
      </c>
      <c r="H22" s="8"/>
    </row>
    <row r="23" spans="1:8" s="1" customFormat="1" ht="21" customHeight="1" thickBot="1">
      <c r="A23" s="88"/>
      <c r="B23" s="54" t="s">
        <v>28</v>
      </c>
      <c r="C23" s="52"/>
      <c r="D23" s="55"/>
      <c r="E23" s="91"/>
      <c r="F23" s="31" t="s">
        <v>31</v>
      </c>
      <c r="G23" s="31" t="s">
        <v>30</v>
      </c>
      <c r="H23" s="8"/>
    </row>
    <row r="24" spans="1:8" s="1" customFormat="1" ht="21.75" customHeight="1" thickBot="1">
      <c r="A24" s="92"/>
      <c r="B24" s="56"/>
      <c r="C24" s="52"/>
      <c r="D24" s="57" t="s">
        <v>16</v>
      </c>
      <c r="E24" s="93">
        <f>E22+E23</f>
        <v>1336500</v>
      </c>
      <c r="F24" s="26" t="e">
        <f>#REF!+F19+#REF!</f>
        <v>#REF!</v>
      </c>
      <c r="G24" s="32" t="e">
        <f>E22-F24</f>
        <v>#REF!</v>
      </c>
      <c r="H24" s="8"/>
    </row>
    <row r="25" spans="1:8" ht="176.25" customHeight="1" thickBot="1">
      <c r="A25" s="94" t="s">
        <v>29</v>
      </c>
      <c r="B25" s="95"/>
      <c r="C25" s="95"/>
      <c r="D25" s="95"/>
      <c r="E25" s="96"/>
      <c r="F25" s="19"/>
      <c r="G25" s="14"/>
    </row>
  </sheetData>
  <mergeCells count="8">
    <mergeCell ref="A25:E25"/>
    <mergeCell ref="A1:E1"/>
    <mergeCell ref="C2:E4"/>
    <mergeCell ref="B8:B9"/>
    <mergeCell ref="A10:E10"/>
    <mergeCell ref="D11:E11"/>
    <mergeCell ref="C5:E9"/>
    <mergeCell ref="A20:E20"/>
  </mergeCells>
  <hyperlinks>
    <hyperlink ref="B5" r:id="rId1" xr:uid="{34160253-7D54-4590-BEFA-4218CAA64ED9}"/>
    <hyperlink ref="B6" r:id="rId2" display="300 815 0085" xr:uid="{738145C0-746C-45CA-A8B7-93C1FD670126}"/>
    <hyperlink ref="B23" r:id="rId3" xr:uid="{40920DED-900F-410B-A849-8D4AD7DC677C}"/>
  </hyperlinks>
  <pageMargins left="0.7" right="0.7" top="0.75" bottom="0.75" header="0.3" footer="0.3"/>
  <pageSetup paperSize="9" scale="80" fitToHeight="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Lorcy Atencio</cp:lastModifiedBy>
  <cp:lastPrinted>2026-10-06T21:53:47Z</cp:lastPrinted>
  <dcterms:created xsi:type="dcterms:W3CDTF">2023-10-30T17:28:55Z</dcterms:created>
  <dcterms:modified xsi:type="dcterms:W3CDTF">2026-10-06T21:54:12Z</dcterms:modified>
</cp:coreProperties>
</file>