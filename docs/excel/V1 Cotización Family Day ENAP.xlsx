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S LOGISTIC\Downloads\"/>
    </mc:Choice>
  </mc:AlternateContent>
  <xr:revisionPtr revIDLastSave="0" documentId="13_ncr:1_{C064197C-67A8-41CA-9C19-A062D4933EF6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Cotización" sheetId="2" r:id="rId1"/>
  </sheets>
  <definedNames>
    <definedName name="_xlnm.Print_Area" localSheetId="0">Cotización!$A$1:$E$66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E25" i="2"/>
  <c r="E51" i="2"/>
  <c r="E47" i="2"/>
  <c r="E46" i="2"/>
  <c r="E48" i="2" s="1"/>
  <c r="E43" i="2"/>
  <c r="E42" i="2"/>
  <c r="E41" i="2"/>
  <c r="E30" i="2"/>
  <c r="E31" i="2"/>
  <c r="E32" i="2"/>
  <c r="E33" i="2"/>
  <c r="E34" i="2"/>
  <c r="E35" i="2"/>
  <c r="E36" i="2"/>
  <c r="E37" i="2"/>
  <c r="E38" i="2"/>
  <c r="E29" i="2"/>
  <c r="E15" i="2"/>
  <c r="E16" i="2"/>
  <c r="E17" i="2"/>
  <c r="E18" i="2"/>
  <c r="E19" i="2"/>
  <c r="E20" i="2"/>
  <c r="E21" i="2"/>
  <c r="E22" i="2"/>
  <c r="E23" i="2"/>
  <c r="E24" i="2"/>
  <c r="E14" i="2"/>
  <c r="E27" i="2" s="1"/>
  <c r="E56" i="2"/>
  <c r="E57" i="2"/>
  <c r="E60" i="2"/>
  <c r="E61" i="2" s="1"/>
  <c r="E55" i="2"/>
  <c r="E52" i="2"/>
  <c r="E50" i="2"/>
  <c r="E58" i="2" l="1"/>
  <c r="E39" i="2"/>
  <c r="E44" i="2"/>
  <c r="E53" i="2"/>
  <c r="E63" i="2" l="1"/>
  <c r="C2" i="2"/>
  <c r="E65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<sst xmlns="http://schemas.openxmlformats.org/spreadsheetml/2006/main" count="97" uniqueCount="71">
  <si>
    <t>DATOS DEL CLIENTE</t>
  </si>
  <si>
    <t>NIT</t>
  </si>
  <si>
    <t>Dirección:</t>
  </si>
  <si>
    <t>Teléfono</t>
  </si>
  <si>
    <t>Valor Unitario</t>
  </si>
  <si>
    <t>Cantidad</t>
  </si>
  <si>
    <t>Item</t>
  </si>
  <si>
    <t>Valor Total</t>
  </si>
  <si>
    <t>301 5386593</t>
  </si>
  <si>
    <t>Cuenta Ahorros Bancolombia</t>
  </si>
  <si>
    <t>509-637939-92</t>
  </si>
  <si>
    <t>WhatsApp</t>
  </si>
  <si>
    <t>Forma de pago</t>
  </si>
  <si>
    <t xml:space="preserve">RAZON SOCIAL: </t>
  </si>
  <si>
    <t>LORYSCO SAS</t>
  </si>
  <si>
    <t xml:space="preserve">Contado </t>
  </si>
  <si>
    <t>A nombre de:</t>
  </si>
  <si>
    <t>ESCUELA NAVAL DE CADETES ALMIRANTE PADILLA - ENAP</t>
  </si>
  <si>
    <t>800.141.648-9</t>
  </si>
  <si>
    <t>Conjunto Residencial verona torre 4 - 316</t>
  </si>
  <si>
    <t>Roadie</t>
  </si>
  <si>
    <t>SONIDO</t>
  </si>
  <si>
    <t>GENERADORES ELECTRICOS</t>
  </si>
  <si>
    <t>ADICIONALES</t>
  </si>
  <si>
    <t>Gasto Operativo + Transporte de equipos</t>
  </si>
  <si>
    <t>Subtotal</t>
  </si>
  <si>
    <t>IVA</t>
  </si>
  <si>
    <t>Total</t>
  </si>
  <si>
    <t>Lorcy Patricia Atencio Contreras</t>
  </si>
  <si>
    <t>C.C. 1.048.935.287 de Cartagena</t>
  </si>
  <si>
    <t>_________________________________</t>
  </si>
  <si>
    <t>1. Anticipo y Pago Final: La propuesta y reserva de fecha, equipos y personal se hará efectiva con un anticipo mínimo del 30% del valor total. El saldo deberá abonarse 8 días antes del evento, salvo acuerdo diferente. El incumplimiento facultará a LORYSCO Event &amp; Productions para suspender o no iniciar los servicios, sin responsabilidad alguna, aplicando las condiciones de cancelación correspondientes.
2. Confirmación de Cotización: La contratación se formalizará mediante orden de compra, firma, correo electrónico, mensaje o cualquier autorización expresa y verificable del contratante.
3. Validez de la Cotización: La cotización tendrá una vigencia de 8 días y estará sujeta a disponibilidad. Vencido este plazo, los precios, equipos y condiciones podrán cambiar.
4. Duración del Servicio y Facturación Adicional: El valor cotizado cubre únicamente los servicios, equipos y horarios especificados. Cualquier hora adicional, cambio de horario, requerimiento o servicio no incluido generará costos adicionales a cargo del contratante.
5. Pago por Equipos y Servicios: Todo equipo, servicio o recurso reservado, dispuesto, transportado o enviado será facturable, aunque no sea utilizado por causas no imputables a LORYSCO Event &amp; Productions.
6. Cancelaciones: Con menos de 15 días de anticipación se cobrará el 30% del valor total; dentro de los 7 días previos, el 50%; y una vez iniciado el cargue, despacho, transporte o montaje, el 70%, sin perjuicio de costos adicionales ya causados y no recuperables.
7. Responsabilidad por Daños: El contratante será responsable por cualquier daño, pérdida, hurto o deterioro de los equipos ocasionado por él, sus asistentes, proveedores o terceros bajo su responsabilidad, debiendo asumir los costos de reparación o reposición.
8. Fuerza Mayor: LORYSCO Event &amp; Productions no será responsable por retrasos, modificaciones o cancelaciones originadas en fuerza mayor, caso fortuito o hechos ajenos a su control. Las partes procurarán acordar una reprogramación, sujeta a disponibilidad y posibles ajustes de costos.
9. Derechos de Imagen: El contratante autoriza el uso de imágenes y videos generales del montaje o evento para fines promocionales y de portafolio de LORYSCO Event &amp; Productions, salvo prohibición expresa y escrita previa.
10. Jurisdicción: Las presentes condiciones se regirán por la legislación colombiana. Cualquier controversia será resuelta inicialmente mediante arreglo directo y, de no ser posible, ante las autoridades competentes conforme a la ley.
11. Alimentación e Hidratación: El contratante deberá proporcionar condiciones adecuadas de alimentación e hidratación al personal técnico y operativo cuando la duración, horario o características del servicio así lo requieran, salvo que estos conceptos estén incluidos en la cotización.
12. Flujo Eléctrico e Internet: LORYSCO Event &amp; Productions no será responsable por fallas, interrupciones o deficiencias en energía eléctrica, internet, redes, señal o servicios suministrados por terceros o por el lugar del evento, cuando estos no sean proporcionados y controlados directamente por la empresa.
La aceptación de la presente cotización implica la aceptación integral de estas condiciones comerciales.</t>
  </si>
  <si>
    <t>Dj Profesional + Controladora</t>
  </si>
  <si>
    <t>Gasto Operativo y transporte de equipos</t>
  </si>
  <si>
    <r>
      <rPr>
        <sz val="9"/>
        <rFont val="Arial MT"/>
        <family val="2"/>
      </rPr>
      <t>Cabina line array RCF HDL20A</t>
    </r>
  </si>
  <si>
    <r>
      <rPr>
        <sz val="9"/>
        <rFont val="Arial MT"/>
        <family val="2"/>
      </rPr>
      <t>Subwoofer 2x18 JBL SLX</t>
    </r>
  </si>
  <si>
    <r>
      <rPr>
        <sz val="9"/>
        <rFont val="Arial MT"/>
        <family val="2"/>
      </rPr>
      <t>Monitor de piso Das 15"</t>
    </r>
  </si>
  <si>
    <r>
      <rPr>
        <sz val="9"/>
        <rFont val="Arial MT"/>
        <family val="2"/>
      </rPr>
      <t>2 Saidfield Subwoofer + Cabina Line Array HDLA</t>
    </r>
  </si>
  <si>
    <t>Cabina line array RCF HDL20A para Relevo en estructura elevada</t>
  </si>
  <si>
    <t>Bajos dobles 2x18 JBL SLX para Relevo</t>
  </si>
  <si>
    <r>
      <rPr>
        <sz val="9"/>
        <rFont val="Arial MT"/>
        <family val="2"/>
      </rPr>
      <t>Consola midas M32 R LIVE</t>
    </r>
  </si>
  <si>
    <r>
      <rPr>
        <sz val="9"/>
        <rFont val="Arial MT"/>
        <family val="2"/>
      </rPr>
      <t>Micrófonos alámbricos Shure SM 57 y 58</t>
    </r>
  </si>
  <si>
    <r>
      <rPr>
        <sz val="9"/>
        <rFont val="Arial MT"/>
        <family val="2"/>
      </rPr>
      <t>Amplificador de bajo Ampeg 4*10</t>
    </r>
  </si>
  <si>
    <r>
      <rPr>
        <sz val="9"/>
        <rFont val="Arial MT"/>
        <family val="2"/>
      </rPr>
      <t>Ingeniero de sonido</t>
    </r>
  </si>
  <si>
    <r>
      <rPr>
        <sz val="9"/>
        <rFont val="Arial MT"/>
        <family val="2"/>
      </rPr>
      <t>Microfono inalámbrico y/o countryman con receptor SHURE SLX y QLX
con combinador de antenas x 4 UND</t>
    </r>
  </si>
  <si>
    <t>ILUMINACIÓN</t>
  </si>
  <si>
    <t xml:space="preserve">Par led RGBWUV 5 vatios </t>
  </si>
  <si>
    <r>
      <rPr>
        <sz val="9"/>
        <rFont val="Arial MT"/>
        <family val="2"/>
      </rPr>
      <t>Opti led</t>
    </r>
  </si>
  <si>
    <r>
      <rPr>
        <sz val="9"/>
        <rFont val="Arial MT"/>
        <family val="2"/>
      </rPr>
      <t>Cabezas móviles Hybridas</t>
    </r>
  </si>
  <si>
    <r>
      <rPr>
        <sz val="9"/>
        <rFont val="Arial MT"/>
        <family val="2"/>
      </rPr>
      <t>Blinder para iluminación exterior en Truss para Iluminación de 2mts</t>
    </r>
  </si>
  <si>
    <t xml:space="preserve">Iluminación tipo feria 500mts </t>
  </si>
  <si>
    <r>
      <rPr>
        <sz val="9"/>
        <rFont val="Arial MT"/>
        <family val="2"/>
      </rPr>
      <t>Consola de luces Onix Nx wing</t>
    </r>
  </si>
  <si>
    <r>
      <rPr>
        <sz val="9"/>
        <rFont val="Arial MT"/>
        <family val="2"/>
      </rPr>
      <t>Camara de humo</t>
    </r>
  </si>
  <si>
    <r>
      <rPr>
        <sz val="9"/>
        <rFont val="Arial MT"/>
        <family val="2"/>
      </rPr>
      <t>Luminotécnico</t>
    </r>
  </si>
  <si>
    <t>Auxiliar de iluminación</t>
  </si>
  <si>
    <t>Strober led</t>
  </si>
  <si>
    <t>ESTRUCTURA</t>
  </si>
  <si>
    <t>Escenario principal tipo concierto en lona negra de 12 x 9 mts con tarima americana de 9x8 mts y estructura interna para anclaje de iluminación y pantallas</t>
  </si>
  <si>
    <r>
      <rPr>
        <sz val="9"/>
        <rFont val="Arial MT"/>
        <family val="2"/>
      </rPr>
      <t>Portico elevado para pantalla y sonido de relevo de 5x5mts  -</t>
    </r>
  </si>
  <si>
    <t>Estructuras tipo boom de 4 mts para luces de feria</t>
  </si>
  <si>
    <t>AUDIOVISUALES</t>
  </si>
  <si>
    <t>Pantalla led 2,9 Pitch de 4x3 mts y 4 lagrimas horizontales de 0,5x2mts para escenario principal</t>
  </si>
  <si>
    <t>Pantalla led 2,9 Pitch de 3 x 2 mts incluye estructura en Truss para relevo</t>
  </si>
  <si>
    <t xml:space="preserve">Generador eléctrico 75kva </t>
  </si>
  <si>
    <t xml:space="preserve">Generador eléctrico 100kva </t>
  </si>
  <si>
    <t xml:space="preserve">20 Puntos Electricos para las carpas </t>
  </si>
  <si>
    <t>Carpas tipo hangar de 12 x 12 mts sin ambientar</t>
  </si>
  <si>
    <t>Ventiladores industriales</t>
  </si>
  <si>
    <t>Portico de bienvenida en pantalla LED</t>
  </si>
  <si>
    <t>Lorcy Atencio</t>
  </si>
  <si>
    <t>COTIZACIÓN C-V1-9001 Family Day ENAP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</si>
</sst>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;[Red]\-&quot;$&quot;\ #,##0;&quot;$&quot;\ \-"/>
    <numFmt numFmtId="166" formatCode="\$\ #,##0"/>
  </numFmts>
  <fonts count="23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4"/>
      <color rgb="FF000000"/>
      <name val="Times New Roman"/>
      <family val="1"/>
    </font>
    <font>
      <b/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10"/>
      <color rgb="FF2C2C2C"/>
      <name val="Aptos"/>
      <family val="2"/>
    </font>
    <font>
      <sz val="10"/>
      <color rgb="FF2C2C2C"/>
      <name val="Aptos"/>
      <family val="2"/>
    </font>
    <font>
      <b/>
      <sz val="18"/>
      <color rgb="FFC19A4A"/>
      <name val="Aptos"/>
      <family val="2"/>
    </font>
    <font>
      <b/>
      <sz val="10"/>
      <color rgb="FF9A7628"/>
      <name val="Aptos"/>
      <family val="2"/>
    </font>
    <font>
      <sz val="10"/>
      <color rgb="FF303030"/>
      <name val="Aptos"/>
      <family val="2"/>
    </font>
    <font>
      <b/>
      <sz val="10"/>
      <color rgb="FF303030"/>
      <name val="Aptos"/>
      <family val="2"/>
    </font>
    <font>
      <b/>
      <sz val="10"/>
      <color rgb="FF171717"/>
      <name val="Aptos"/>
      <family val="2"/>
    </font>
    <font>
      <b/>
      <sz val="11"/>
      <color rgb="FFFFFFFF"/>
      <name val="Aptos"/>
      <family val="2"/>
    </font>
    <font>
      <b/>
      <sz val="9"/>
      <color rgb="FF686868"/>
      <name val="Aptos"/>
      <family val="2"/>
    </font>
    <font>
      <sz val="9"/>
      <color rgb="FF686868"/>
      <name val="Aptos"/>
      <family val="2"/>
    </font>
    <font>
      <sz val="8"/>
      <color rgb="FF686868"/>
      <name val="Aptos"/>
      <family val="2"/>
    </font>
    <font>
      <b/>
      <sz val="12"/>
      <color theme="1"/>
      <name val="Aptos"/>
      <family val="2"/>
    </font>
    <font>
      <sz val="6"/>
      <color rgb="FF686868"/>
      <name val="Aptos"/>
      <family val="2"/>
    </font>
    <font>
      <sz val="9"/>
      <name val="Arial MT"/>
    </font>
    <font>
      <sz val="9"/>
      <name val="Arial MT"/>
      <family val="2"/>
    </font>
    <font>
      <sz val="9"/>
      <color rgb="FF000000"/>
      <name val="Arial MT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F6EEDC"/>
        <bgColor indexed="64"/>
      </patternFill>
    </fill>
    <fill>
      <patternFill patternType="solid">
        <fgColor rgb="FF303030"/>
        <bgColor indexed="64"/>
      </patternFill>
    </fill>
    <fill>
      <patternFill patternType="solid">
        <fgColor rgb="FFF3F1EC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6">
    <xf numFmtId="0" fontId="0" fillId="0" borderId="0" xfId="0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65" fontId="7" fillId="7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1" fillId="3" borderId="0" xfId="0" applyFont="1" applyFill="1" applyBorder="1" applyAlignment="1">
      <alignment horizontal="left" vertical="center"/>
    </xf>
    <xf numFmtId="14" fontId="13" fillId="2" borderId="0" xfId="0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left" vertical="center"/>
    </xf>
    <xf numFmtId="0" fontId="14" fillId="4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 wrapText="1"/>
    </xf>
    <xf numFmtId="3" fontId="6" fillId="6" borderId="0" xfId="0" applyNumberFormat="1" applyFont="1" applyFill="1" applyBorder="1" applyAlignment="1">
      <alignment horizontal="center" vertical="center"/>
    </xf>
    <xf numFmtId="165" fontId="6" fillId="6" borderId="0" xfId="0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horizontal="left" vertical="top" wrapText="1"/>
    </xf>
    <xf numFmtId="1" fontId="22" fillId="0" borderId="0" xfId="0" applyNumberFormat="1" applyFont="1" applyBorder="1" applyAlignment="1">
      <alignment horizontal="center" vertical="top" shrinkToFit="1"/>
    </xf>
    <xf numFmtId="166" fontId="22" fillId="0" borderId="0" xfId="0" applyNumberFormat="1" applyFont="1" applyBorder="1" applyAlignment="1">
      <alignment horizontal="right" vertical="top" shrinkToFit="1"/>
    </xf>
    <xf numFmtId="0" fontId="21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8" fillId="3" borderId="0" xfId="0" applyFont="1" applyFill="1" applyBorder="1" applyAlignment="1">
      <alignment horizontal="left" vertical="center" wrapText="1"/>
    </xf>
    <xf numFmtId="3" fontId="8" fillId="3" borderId="0" xfId="0" applyNumberFormat="1" applyFont="1" applyFill="1" applyBorder="1" applyAlignment="1">
      <alignment horizontal="center" vertical="center" shrinkToFit="1"/>
    </xf>
    <xf numFmtId="165" fontId="8" fillId="3" borderId="0" xfId="0" applyNumberFormat="1" applyFont="1" applyFill="1" applyBorder="1" applyAlignment="1">
      <alignment horizontal="right" vertical="center" shrinkToFit="1"/>
    </xf>
    <xf numFmtId="0" fontId="7" fillId="7" borderId="0" xfId="0" applyFont="1" applyFill="1" applyBorder="1" applyAlignment="1">
      <alignment horizontal="left" vertical="center" wrapText="1"/>
    </xf>
    <xf numFmtId="3" fontId="7" fillId="7" borderId="0" xfId="0" applyNumberFormat="1" applyFont="1" applyFill="1" applyBorder="1" applyAlignment="1">
      <alignment horizontal="center" vertical="center"/>
    </xf>
    <xf numFmtId="164" fontId="22" fillId="0" borderId="0" xfId="1" applyNumberFormat="1" applyFont="1" applyFill="1" applyBorder="1" applyAlignment="1">
      <alignment horizontal="right" vertical="top" shrinkToFit="1"/>
    </xf>
    <xf numFmtId="0" fontId="20" fillId="0" borderId="0" xfId="0" applyFont="1" applyBorder="1" applyAlignment="1">
      <alignment horizontal="left" vertical="center" wrapText="1"/>
    </xf>
    <xf numFmtId="1" fontId="22" fillId="0" borderId="0" xfId="0" applyNumberFormat="1" applyFont="1" applyBorder="1" applyAlignment="1">
      <alignment horizontal="center" vertical="center" shrinkToFit="1"/>
    </xf>
    <xf numFmtId="164" fontId="22" fillId="0" borderId="0" xfId="1" applyNumberFormat="1" applyFont="1" applyFill="1" applyBorder="1" applyAlignment="1">
      <alignment horizontal="right" vertical="center" shrinkToFit="1"/>
    </xf>
    <xf numFmtId="164" fontId="20" fillId="0" borderId="0" xfId="1" applyNumberFormat="1" applyFont="1" applyFill="1" applyBorder="1" applyAlignment="1">
      <alignment horizontal="left" vertical="top" wrapText="1"/>
    </xf>
    <xf numFmtId="0" fontId="21" fillId="8" borderId="0" xfId="0" applyFont="1" applyFill="1" applyBorder="1" applyAlignment="1">
      <alignment horizontal="left" vertical="center" wrapText="1"/>
    </xf>
    <xf numFmtId="1" fontId="22" fillId="8" borderId="0" xfId="0" applyNumberFormat="1" applyFont="1" applyFill="1" applyBorder="1" applyAlignment="1">
      <alignment horizontal="center" vertical="center" shrinkToFit="1"/>
    </xf>
    <xf numFmtId="166" fontId="22" fillId="8" borderId="0" xfId="0" applyNumberFormat="1" applyFont="1" applyFill="1" applyBorder="1" applyAlignment="1">
      <alignment horizontal="right" vertical="center" shrinkToFit="1"/>
    </xf>
    <xf numFmtId="0" fontId="7" fillId="8" borderId="0" xfId="0" applyFont="1" applyFill="1" applyBorder="1" applyAlignment="1">
      <alignment horizontal="left" vertical="center" wrapText="1"/>
    </xf>
    <xf numFmtId="3" fontId="7" fillId="8" borderId="0" xfId="0" applyNumberFormat="1" applyFont="1" applyFill="1" applyBorder="1" applyAlignment="1">
      <alignment horizontal="center" vertical="center"/>
    </xf>
    <xf numFmtId="165" fontId="7" fillId="8" borderId="0" xfId="1" applyNumberFormat="1" applyFont="1" applyFill="1" applyBorder="1" applyAlignment="1">
      <alignment horizontal="right" vertical="center"/>
    </xf>
    <xf numFmtId="0" fontId="6" fillId="6" borderId="0" xfId="0" applyFont="1" applyFill="1" applyBorder="1" applyAlignment="1">
      <alignment horizontal="left" vertical="center" wrapText="1"/>
    </xf>
    <xf numFmtId="165" fontId="6" fillId="6" borderId="0" xfId="0" applyNumberFormat="1" applyFont="1" applyFill="1" applyBorder="1" applyAlignment="1">
      <alignment horizontal="right" vertical="center"/>
    </xf>
    <xf numFmtId="0" fontId="8" fillId="7" borderId="0" xfId="0" applyFont="1" applyFill="1" applyBorder="1" applyAlignment="1">
      <alignment horizontal="left" vertical="center" wrapText="1"/>
    </xf>
    <xf numFmtId="3" fontId="8" fillId="7" borderId="0" xfId="0" applyNumberFormat="1" applyFont="1" applyFill="1" applyBorder="1" applyAlignment="1">
      <alignment horizontal="center" vertical="center"/>
    </xf>
    <xf numFmtId="165" fontId="8" fillId="7" borderId="0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center" wrapText="1"/>
    </xf>
    <xf numFmtId="0" fontId="16" fillId="2" borderId="0" xfId="0" applyFont="1" applyFill="1" applyBorder="1" applyAlignment="1">
      <alignment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vertical="center"/>
    </xf>
    <xf numFmtId="0" fontId="14" fillId="4" borderId="4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165" fontId="6" fillId="6" borderId="5" xfId="1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65" fontId="8" fillId="3" borderId="5" xfId="1" applyNumberFormat="1" applyFont="1" applyFill="1" applyBorder="1" applyAlignment="1">
      <alignment horizontal="right" vertical="center"/>
    </xf>
    <xf numFmtId="165" fontId="8" fillId="3" borderId="5" xfId="0" applyNumberFormat="1" applyFont="1" applyFill="1" applyBorder="1" applyAlignment="1">
      <alignment horizontal="right" vertical="center" shrinkToFit="1"/>
    </xf>
    <xf numFmtId="0" fontId="7" fillId="7" borderId="4" xfId="0" applyFont="1" applyFill="1" applyBorder="1" applyAlignment="1">
      <alignment horizontal="center" vertical="center"/>
    </xf>
    <xf numFmtId="165" fontId="10" fillId="5" borderId="5" xfId="1" applyNumberFormat="1" applyFont="1" applyFill="1" applyBorder="1" applyAlignment="1">
      <alignment horizontal="right" vertical="center" shrinkToFit="1"/>
    </xf>
    <xf numFmtId="0" fontId="8" fillId="8" borderId="4" xfId="0" applyFont="1" applyFill="1" applyBorder="1" applyAlignment="1">
      <alignment horizontal="center" vertical="center"/>
    </xf>
    <xf numFmtId="165" fontId="8" fillId="8" borderId="5" xfId="1" applyNumberFormat="1" applyFont="1" applyFill="1" applyBorder="1" applyAlignment="1">
      <alignment horizontal="right" vertical="center"/>
    </xf>
    <xf numFmtId="0" fontId="7" fillId="8" borderId="4" xfId="0" applyFont="1" applyFill="1" applyBorder="1" applyAlignment="1">
      <alignment horizontal="center" vertical="center"/>
    </xf>
    <xf numFmtId="165" fontId="10" fillId="8" borderId="5" xfId="1" applyNumberFormat="1" applyFont="1" applyFill="1" applyBorder="1" applyAlignment="1">
      <alignment horizontal="right" vertical="center" shrinkToFit="1"/>
    </xf>
    <xf numFmtId="165" fontId="6" fillId="6" borderId="5" xfId="1" applyNumberFormat="1" applyFont="1" applyFill="1" applyBorder="1" applyAlignment="1">
      <alignment horizontal="right" vertical="center"/>
    </xf>
    <xf numFmtId="1" fontId="7" fillId="3" borderId="4" xfId="0" applyNumberFormat="1" applyFont="1" applyFill="1" applyBorder="1" applyAlignment="1">
      <alignment horizontal="center" vertical="center" shrinkToFit="1"/>
    </xf>
    <xf numFmtId="0" fontId="8" fillId="7" borderId="4" xfId="0" applyFont="1" applyFill="1" applyBorder="1" applyAlignment="1">
      <alignment horizontal="center" vertical="center"/>
    </xf>
    <xf numFmtId="165" fontId="10" fillId="5" borderId="5" xfId="0" applyNumberFormat="1" applyFont="1" applyFill="1" applyBorder="1" applyAlignment="1">
      <alignment horizontal="right" vertical="center" shrinkToFit="1"/>
    </xf>
    <xf numFmtId="0" fontId="8" fillId="2" borderId="4" xfId="0" applyFont="1" applyFill="1" applyBorder="1" applyAlignment="1">
      <alignment horizontal="left" vertical="center"/>
    </xf>
    <xf numFmtId="165" fontId="10" fillId="2" borderId="5" xfId="0" applyNumberFormat="1" applyFont="1" applyFill="1" applyBorder="1" applyAlignment="1">
      <alignment horizontal="right" vertical="center" shrinkToFit="1"/>
    </xf>
    <xf numFmtId="0" fontId="8" fillId="2" borderId="4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left" vertical="center" wrapText="1"/>
    </xf>
    <xf numFmtId="0" fontId="17" fillId="7" borderId="7" xfId="0" applyFont="1" applyFill="1" applyBorder="1" applyAlignment="1">
      <alignment horizontal="left" vertical="center" wrapText="1"/>
    </xf>
    <xf numFmtId="0" fontId="17" fillId="7" borderId="8" xfId="0" applyFont="1" applyFill="1" applyBorder="1" applyAlignment="1">
      <alignment horizontal="left" vertical="center" wrapText="1"/>
    </xf>
    <xf numFmtId="165" fontId="12" fillId="2" borderId="9" xfId="0" applyNumberFormat="1" applyFont="1" applyFill="1" applyBorder="1" applyAlignment="1">
      <alignment horizontal="left" vertical="center"/>
    </xf>
    <xf numFmtId="165" fontId="5" fillId="2" borderId="10" xfId="0" applyNumberFormat="1" applyFont="1" applyFill="1" applyBorder="1" applyAlignment="1">
      <alignment horizontal="right" vertical="center"/>
    </xf>
    <xf numFmtId="165" fontId="12" fillId="2" borderId="11" xfId="0" applyNumberFormat="1" applyFont="1" applyFill="1" applyBorder="1" applyAlignment="1">
      <alignment horizontal="left" vertical="center"/>
    </xf>
    <xf numFmtId="165" fontId="5" fillId="2" borderId="12" xfId="0" applyNumberFormat="1" applyFont="1" applyFill="1" applyBorder="1" applyAlignment="1">
      <alignment horizontal="right" vertical="center"/>
    </xf>
    <xf numFmtId="165" fontId="18" fillId="2" borderId="13" xfId="0" applyNumberFormat="1" applyFont="1" applyFill="1" applyBorder="1" applyAlignment="1">
      <alignment horizontal="left" vertical="center"/>
    </xf>
    <xf numFmtId="165" fontId="18" fillId="2" borderId="14" xfId="0" applyNumberFormat="1" applyFont="1" applyFill="1" applyBorder="1" applyAlignment="1">
      <alignment horizontal="righ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4FDA1"/>
      <color rgb="FFF6EEDC"/>
      <color rgb="FFFF99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415877</xdr:colOff>
      <xdr:row>59</xdr:row>
      <xdr:rowOff>126360</xdr:rowOff>
    </xdr:from>
    <xdr:to>
      <xdr:col>1</xdr:col>
      <xdr:colOff>3082877</xdr:colOff>
      <xdr:row>64</xdr:row>
      <xdr:rowOff>311678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5387F7-09AF-DF20-10F7-636596277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5503" y="12008334"/>
          <a:ext cx="2667000" cy="121571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1">
    <v>1</v>
    <v>5</v>
    <v>Logo Bancolombia PNG transparente - StickPNG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BC2733-7F26-4D6B-9779-1E0EA3061F69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b3bb9ce1-2b90-4840-9937-e6b6386d676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5A62-548D-48E6-942E-131F130E3FCD}">
  <sheetPr>
    <pageSetUpPr fitToPage="1"/>
  </sheetPr>
  <dimension ref="A1:E66"/>
  <sheetViews>
    <sheetView tabSelected="1" topLeftCell="A56" zoomScaleNormal="100" zoomScaleSheetLayoutView="100" workbookViewId="0">
      <selection activeCell="A66" sqref="A66:E66"/>
    </sheetView>
  </sheetViews>
  <sheetFormatPr baseColWidth="10" defaultColWidth="9.44140625" defaultRowHeight="12.7"/>
  <cols>
    <col min="1" max="1" width="13.88671875" customWidth="1"/>
    <col min="2" max="2" width="50.109375" customWidth="1"/>
    <col min="3" max="3" width="13.109375" customWidth="1"/>
    <col min="4" max="4" width="20.21875" customWidth="1"/>
    <col min="5" max="5" width="18.33203125" customWidth="1"/>
    <col min="7" max="7" width="68.44140625" customWidth="1"/>
  </cols>
  <sheetData>
    <row r="1" spans="1:5" ht="36" customHeight="1">
      <c r="A1" s="54" t="s">
        <v>70</v>
      </c>
      <c r="B1" s="55"/>
      <c r="C1" s="55"/>
      <c r="D1" s="55"/>
      <c r="E1" s="56"/>
    </row>
    <row r="2" spans="1:5" s="1" customFormat="1" ht="13.25">
      <c r="A2" s="57" t="s">
        <v>13</v>
      </c>
      <c r="B2" s="11" t="s">
        <v>14</v>
      </c>
      <c r="C2" s="12">
        <f ca="1">TODAY()</f>
        <v>46265</v>
      </c>
      <c r="D2" s="13"/>
      <c r="E2" s="58"/>
    </row>
    <row r="3" spans="1:5" s="1" customFormat="1" ht="13.25">
      <c r="A3" s="59" t="s">
        <v>1</v>
      </c>
      <c r="B3" s="11">
        <v>1048935287</v>
      </c>
      <c r="C3" s="13"/>
      <c r="D3" s="13"/>
      <c r="E3" s="58"/>
    </row>
    <row r="4" spans="1:5" s="1" customFormat="1" ht="13.25">
      <c r="A4" s="59" t="s">
        <v>2</v>
      </c>
      <c r="B4" s="11" t="s">
        <v>19</v>
      </c>
      <c r="C4" s="13"/>
      <c r="D4" s="13"/>
      <c r="E4" s="58"/>
    </row>
    <row r="5" spans="1:5" s="1" customFormat="1" ht="13.25">
      <c r="A5" s="59" t="s">
        <v>3</v>
      </c>
      <c r="B5" s="11" t="s">
        <v>8</v>
      </c>
      <c r="C5" s="14" t="e" vm="1">
        <v>#VALUE!</v>
      </c>
      <c r="D5" s="14"/>
      <c r="E5" s="60"/>
    </row>
    <row r="6" spans="1:5" s="1" customFormat="1" ht="13.25">
      <c r="A6" s="61" t="s">
        <v>69</v>
      </c>
      <c r="B6" s="11">
        <v>1048935287</v>
      </c>
      <c r="C6" s="14"/>
      <c r="D6" s="14"/>
      <c r="E6" s="60"/>
    </row>
    <row r="7" spans="1:5" s="1" customFormat="1" ht="13.25">
      <c r="A7" s="59" t="s">
        <v>11</v>
      </c>
      <c r="B7" s="11" t="s">
        <v>8</v>
      </c>
      <c r="C7" s="14"/>
      <c r="D7" s="14"/>
      <c r="E7" s="60"/>
    </row>
    <row r="8" spans="1:5" s="1" customFormat="1" ht="13.25">
      <c r="A8" s="59" t="s">
        <v>12</v>
      </c>
      <c r="B8" s="11" t="s">
        <v>15</v>
      </c>
      <c r="C8" s="14"/>
      <c r="D8" s="14"/>
      <c r="E8" s="60"/>
    </row>
    <row r="9" spans="1:5" s="2" customFormat="1" ht="13.25">
      <c r="A9" s="57" t="s">
        <v>9</v>
      </c>
      <c r="B9" s="15" t="e" vm="2">
        <v>#VALUE!</v>
      </c>
      <c r="C9" s="14"/>
      <c r="D9" s="14"/>
      <c r="E9" s="60"/>
    </row>
    <row r="10" spans="1:5" s="2" customFormat="1" ht="13.25">
      <c r="A10" s="62" t="s">
        <v>10</v>
      </c>
      <c r="B10" s="15"/>
      <c r="C10" s="14"/>
      <c r="D10" s="14"/>
      <c r="E10" s="60"/>
    </row>
    <row r="11" spans="1:5" s="1" customFormat="1" ht="24.05" customHeight="1">
      <c r="A11" s="63" t="s">
        <v>0</v>
      </c>
      <c r="B11" s="16"/>
      <c r="C11" s="16"/>
      <c r="D11" s="16"/>
      <c r="E11" s="64"/>
    </row>
    <row r="12" spans="1:5" s="4" customFormat="1" ht="34" customHeight="1">
      <c r="A12" s="65" t="s">
        <v>16</v>
      </c>
      <c r="B12" s="17" t="s">
        <v>17</v>
      </c>
      <c r="C12" s="18" t="s">
        <v>1</v>
      </c>
      <c r="D12" s="19" t="s">
        <v>18</v>
      </c>
      <c r="E12" s="66"/>
    </row>
    <row r="13" spans="1:5" s="9" customFormat="1" ht="23.05" customHeight="1">
      <c r="A13" s="67" t="s">
        <v>6</v>
      </c>
      <c r="B13" s="20" t="s">
        <v>21</v>
      </c>
      <c r="C13" s="21" t="s">
        <v>5</v>
      </c>
      <c r="D13" s="22" t="s">
        <v>4</v>
      </c>
      <c r="E13" s="68" t="s">
        <v>7</v>
      </c>
    </row>
    <row r="14" spans="1:5" s="3" customFormat="1" ht="13.25">
      <c r="A14" s="69">
        <v>1</v>
      </c>
      <c r="B14" s="23" t="s">
        <v>34</v>
      </c>
      <c r="C14" s="24">
        <v>12</v>
      </c>
      <c r="D14" s="25">
        <v>250000</v>
      </c>
      <c r="E14" s="70">
        <f>D14*C14</f>
        <v>3000000</v>
      </c>
    </row>
    <row r="15" spans="1:5" s="3" customFormat="1" ht="13.25">
      <c r="A15" s="69">
        <v>2</v>
      </c>
      <c r="B15" s="23" t="s">
        <v>35</v>
      </c>
      <c r="C15" s="24">
        <v>4</v>
      </c>
      <c r="D15" s="25">
        <v>250000</v>
      </c>
      <c r="E15" s="70">
        <f t="shared" ref="E15:E25" si="0">D15*C15</f>
        <v>1000000</v>
      </c>
    </row>
    <row r="16" spans="1:5" s="3" customFormat="1" ht="13.25">
      <c r="A16" s="69">
        <v>3</v>
      </c>
      <c r="B16" s="23" t="s">
        <v>36</v>
      </c>
      <c r="C16" s="24">
        <v>4</v>
      </c>
      <c r="D16" s="25">
        <v>150000</v>
      </c>
      <c r="E16" s="70">
        <f t="shared" si="0"/>
        <v>600000</v>
      </c>
    </row>
    <row r="17" spans="1:5" s="3" customFormat="1" ht="13.25">
      <c r="A17" s="69">
        <v>4</v>
      </c>
      <c r="B17" s="23" t="s">
        <v>37</v>
      </c>
      <c r="C17" s="24">
        <v>2</v>
      </c>
      <c r="D17" s="25">
        <v>400000</v>
      </c>
      <c r="E17" s="70">
        <f t="shared" si="0"/>
        <v>800000</v>
      </c>
    </row>
    <row r="18" spans="1:5" s="3" customFormat="1" ht="23.05">
      <c r="A18" s="69">
        <v>5</v>
      </c>
      <c r="B18" s="26" t="s">
        <v>38</v>
      </c>
      <c r="C18" s="24">
        <v>8</v>
      </c>
      <c r="D18" s="25">
        <v>250000</v>
      </c>
      <c r="E18" s="70">
        <f t="shared" si="0"/>
        <v>2000000</v>
      </c>
    </row>
    <row r="19" spans="1:5" s="3" customFormat="1" ht="13.25">
      <c r="A19" s="69">
        <v>6</v>
      </c>
      <c r="B19" s="26" t="s">
        <v>39</v>
      </c>
      <c r="C19" s="24">
        <v>4</v>
      </c>
      <c r="D19" s="25">
        <v>250000</v>
      </c>
      <c r="E19" s="70">
        <f t="shared" si="0"/>
        <v>1000000</v>
      </c>
    </row>
    <row r="20" spans="1:5" s="3" customFormat="1" ht="13.25">
      <c r="A20" s="69">
        <v>7</v>
      </c>
      <c r="B20" s="23" t="s">
        <v>40</v>
      </c>
      <c r="C20" s="24">
        <v>2</v>
      </c>
      <c r="D20" s="25">
        <v>250000</v>
      </c>
      <c r="E20" s="70">
        <f t="shared" si="0"/>
        <v>500000</v>
      </c>
    </row>
    <row r="21" spans="1:5" s="3" customFormat="1" ht="34.6">
      <c r="A21" s="69">
        <v>8</v>
      </c>
      <c r="B21" s="27" t="s">
        <v>44</v>
      </c>
      <c r="C21" s="24">
        <v>4</v>
      </c>
      <c r="D21" s="25">
        <v>480000</v>
      </c>
      <c r="E21" s="70">
        <f t="shared" si="0"/>
        <v>1920000</v>
      </c>
    </row>
    <row r="22" spans="1:5" s="3" customFormat="1" ht="13.25">
      <c r="A22" s="69">
        <v>9</v>
      </c>
      <c r="B22" s="23" t="s">
        <v>41</v>
      </c>
      <c r="C22" s="24">
        <v>20</v>
      </c>
      <c r="D22" s="25">
        <v>100000</v>
      </c>
      <c r="E22" s="70">
        <f t="shared" si="0"/>
        <v>2000000</v>
      </c>
    </row>
    <row r="23" spans="1:5" s="3" customFormat="1" ht="13.25">
      <c r="A23" s="69">
        <v>10</v>
      </c>
      <c r="B23" s="23" t="s">
        <v>42</v>
      </c>
      <c r="C23" s="24">
        <v>1</v>
      </c>
      <c r="D23" s="25">
        <v>300000</v>
      </c>
      <c r="E23" s="70">
        <f t="shared" si="0"/>
        <v>300000</v>
      </c>
    </row>
    <row r="24" spans="1:5" s="3" customFormat="1" ht="13.25">
      <c r="A24" s="69">
        <v>11</v>
      </c>
      <c r="B24" s="23" t="s">
        <v>43</v>
      </c>
      <c r="C24" s="24">
        <v>1</v>
      </c>
      <c r="D24" s="25">
        <v>1000000</v>
      </c>
      <c r="E24" s="70">
        <f t="shared" si="0"/>
        <v>1000000</v>
      </c>
    </row>
    <row r="25" spans="1:5" s="3" customFormat="1" ht="13.25">
      <c r="A25" s="69">
        <v>12</v>
      </c>
      <c r="B25" s="26" t="s">
        <v>20</v>
      </c>
      <c r="C25" s="24">
        <v>1</v>
      </c>
      <c r="D25" s="25">
        <v>500000</v>
      </c>
      <c r="E25" s="70">
        <f t="shared" si="0"/>
        <v>500000</v>
      </c>
    </row>
    <row r="26" spans="1:5" s="6" customFormat="1" ht="17.850000000000001">
      <c r="A26" s="69">
        <v>13</v>
      </c>
      <c r="B26" s="28" t="s">
        <v>32</v>
      </c>
      <c r="C26" s="29">
        <v>1</v>
      </c>
      <c r="D26" s="30">
        <v>1500000</v>
      </c>
      <c r="E26" s="71">
        <f>D26*C26</f>
        <v>1500000</v>
      </c>
    </row>
    <row r="27" spans="1:5" s="2" customFormat="1" ht="13.25">
      <c r="A27" s="72"/>
      <c r="B27" s="31"/>
      <c r="C27" s="32"/>
      <c r="D27" s="8"/>
      <c r="E27" s="73">
        <f>SUM(E14:E26)</f>
        <v>16120000</v>
      </c>
    </row>
    <row r="28" spans="1:5" s="9" customFormat="1" ht="23.05" customHeight="1">
      <c r="A28" s="67" t="s">
        <v>6</v>
      </c>
      <c r="B28" s="20" t="s">
        <v>45</v>
      </c>
      <c r="C28" s="21" t="s">
        <v>5</v>
      </c>
      <c r="D28" s="22" t="s">
        <v>4</v>
      </c>
      <c r="E28" s="68" t="s">
        <v>7</v>
      </c>
    </row>
    <row r="29" spans="1:5" s="3" customFormat="1" ht="13.25">
      <c r="A29" s="69">
        <v>1</v>
      </c>
      <c r="B29" s="26" t="s">
        <v>46</v>
      </c>
      <c r="C29" s="24">
        <v>50</v>
      </c>
      <c r="D29" s="33">
        <v>45000</v>
      </c>
      <c r="E29" s="70">
        <f>D29*C29</f>
        <v>2250000</v>
      </c>
    </row>
    <row r="30" spans="1:5" s="3" customFormat="1" ht="13.25">
      <c r="A30" s="69">
        <v>2</v>
      </c>
      <c r="B30" s="23" t="s">
        <v>47</v>
      </c>
      <c r="C30" s="24">
        <v>10</v>
      </c>
      <c r="D30" s="33">
        <v>40000</v>
      </c>
      <c r="E30" s="70">
        <f t="shared" ref="E30:E38" si="1">D30*C30</f>
        <v>400000</v>
      </c>
    </row>
    <row r="31" spans="1:5" s="3" customFormat="1" ht="13.25">
      <c r="A31" s="69">
        <v>3</v>
      </c>
      <c r="B31" s="23" t="s">
        <v>48</v>
      </c>
      <c r="C31" s="24">
        <v>12</v>
      </c>
      <c r="D31" s="33">
        <v>250000</v>
      </c>
      <c r="E31" s="70">
        <f t="shared" si="1"/>
        <v>3000000</v>
      </c>
    </row>
    <row r="32" spans="1:5" s="3" customFormat="1" ht="13.25">
      <c r="A32" s="69">
        <v>3</v>
      </c>
      <c r="B32" s="26" t="s">
        <v>55</v>
      </c>
      <c r="C32" s="24">
        <v>6</v>
      </c>
      <c r="D32" s="33">
        <v>150000</v>
      </c>
      <c r="E32" s="70">
        <f t="shared" si="1"/>
        <v>900000</v>
      </c>
    </row>
    <row r="33" spans="1:5" s="10" customFormat="1" ht="23.05">
      <c r="A33" s="69">
        <v>4</v>
      </c>
      <c r="B33" s="34" t="s">
        <v>49</v>
      </c>
      <c r="C33" s="35">
        <v>8</v>
      </c>
      <c r="D33" s="36">
        <v>220000</v>
      </c>
      <c r="E33" s="70">
        <f t="shared" si="1"/>
        <v>1760000</v>
      </c>
    </row>
    <row r="34" spans="1:5" s="3" customFormat="1" ht="13.25">
      <c r="A34" s="69">
        <v>5</v>
      </c>
      <c r="B34" s="26" t="s">
        <v>50</v>
      </c>
      <c r="C34" s="24">
        <v>500</v>
      </c>
      <c r="D34" s="37">
        <v>10000</v>
      </c>
      <c r="E34" s="70">
        <f t="shared" si="1"/>
        <v>5000000</v>
      </c>
    </row>
    <row r="35" spans="1:5" s="3" customFormat="1" ht="13.25">
      <c r="A35" s="69">
        <v>6</v>
      </c>
      <c r="B35" s="23" t="s">
        <v>51</v>
      </c>
      <c r="C35" s="24">
        <v>1</v>
      </c>
      <c r="D35" s="33">
        <v>250000</v>
      </c>
      <c r="E35" s="70">
        <f t="shared" si="1"/>
        <v>250000</v>
      </c>
    </row>
    <row r="36" spans="1:5" s="3" customFormat="1" ht="13.25">
      <c r="A36" s="69">
        <v>7</v>
      </c>
      <c r="B36" s="23" t="s">
        <v>52</v>
      </c>
      <c r="C36" s="24">
        <v>2</v>
      </c>
      <c r="D36" s="33">
        <v>150000</v>
      </c>
      <c r="E36" s="70">
        <f t="shared" si="1"/>
        <v>300000</v>
      </c>
    </row>
    <row r="37" spans="1:5" s="3" customFormat="1" ht="13.25">
      <c r="A37" s="69">
        <v>8</v>
      </c>
      <c r="B37" s="23" t="s">
        <v>53</v>
      </c>
      <c r="C37" s="24">
        <v>1</v>
      </c>
      <c r="D37" s="33">
        <v>500000</v>
      </c>
      <c r="E37" s="70">
        <f t="shared" si="1"/>
        <v>500000</v>
      </c>
    </row>
    <row r="38" spans="1:5" s="3" customFormat="1" ht="13.25">
      <c r="A38" s="69">
        <v>9</v>
      </c>
      <c r="B38" s="23" t="s">
        <v>54</v>
      </c>
      <c r="C38" s="24">
        <v>1</v>
      </c>
      <c r="D38" s="25">
        <v>300000</v>
      </c>
      <c r="E38" s="70">
        <f t="shared" si="1"/>
        <v>300000</v>
      </c>
    </row>
    <row r="39" spans="1:5" s="2" customFormat="1" ht="13.25">
      <c r="A39" s="72"/>
      <c r="B39" s="31"/>
      <c r="C39" s="32"/>
      <c r="D39" s="8"/>
      <c r="E39" s="73">
        <f>SUM(E29:E38)</f>
        <v>14660000</v>
      </c>
    </row>
    <row r="40" spans="1:5" s="9" customFormat="1" ht="23.05" customHeight="1">
      <c r="A40" s="67" t="s">
        <v>6</v>
      </c>
      <c r="B40" s="20" t="s">
        <v>56</v>
      </c>
      <c r="C40" s="21" t="s">
        <v>5</v>
      </c>
      <c r="D40" s="22" t="s">
        <v>4</v>
      </c>
      <c r="E40" s="68" t="s">
        <v>7</v>
      </c>
    </row>
    <row r="41" spans="1:5" s="3" customFormat="1" ht="34.6">
      <c r="A41" s="69">
        <v>1</v>
      </c>
      <c r="B41" s="26" t="s">
        <v>57</v>
      </c>
      <c r="C41" s="24">
        <v>1</v>
      </c>
      <c r="D41" s="36">
        <v>9000000</v>
      </c>
      <c r="E41" s="70">
        <f>D41*C41</f>
        <v>9000000</v>
      </c>
    </row>
    <row r="42" spans="1:5" s="3" customFormat="1" ht="13.25">
      <c r="A42" s="69">
        <v>2</v>
      </c>
      <c r="B42" s="23" t="s">
        <v>58</v>
      </c>
      <c r="C42" s="24">
        <v>1</v>
      </c>
      <c r="D42" s="37">
        <v>1000000</v>
      </c>
      <c r="E42" s="70">
        <f t="shared" ref="E42:E43" si="2">D42*C42</f>
        <v>1000000</v>
      </c>
    </row>
    <row r="43" spans="1:5" s="3" customFormat="1" ht="13.25">
      <c r="A43" s="69">
        <v>3</v>
      </c>
      <c r="B43" s="26" t="s">
        <v>59</v>
      </c>
      <c r="C43" s="24">
        <v>12</v>
      </c>
      <c r="D43" s="37">
        <v>150000</v>
      </c>
      <c r="E43" s="70">
        <f t="shared" si="2"/>
        <v>1800000</v>
      </c>
    </row>
    <row r="44" spans="1:5" s="2" customFormat="1" ht="13.25">
      <c r="A44" s="72"/>
      <c r="B44" s="31"/>
      <c r="C44" s="32"/>
      <c r="D44" s="8"/>
      <c r="E44" s="73">
        <f>SUM(E41:E43)</f>
        <v>11800000</v>
      </c>
    </row>
    <row r="45" spans="1:5" s="9" customFormat="1" ht="23.05" customHeight="1">
      <c r="A45" s="67" t="s">
        <v>6</v>
      </c>
      <c r="B45" s="20" t="s">
        <v>60</v>
      </c>
      <c r="C45" s="21" t="s">
        <v>5</v>
      </c>
      <c r="D45" s="22" t="s">
        <v>4</v>
      </c>
      <c r="E45" s="68" t="s">
        <v>7</v>
      </c>
    </row>
    <row r="46" spans="1:5" s="3" customFormat="1" ht="23.05">
      <c r="A46" s="74">
        <v>1</v>
      </c>
      <c r="B46" s="38" t="s">
        <v>61</v>
      </c>
      <c r="C46" s="39">
        <v>1</v>
      </c>
      <c r="D46" s="40">
        <v>4800000</v>
      </c>
      <c r="E46" s="75">
        <f>D46*C46</f>
        <v>4800000</v>
      </c>
    </row>
    <row r="47" spans="1:5" s="3" customFormat="1" ht="23.05">
      <c r="A47" s="74">
        <v>2</v>
      </c>
      <c r="B47" s="38" t="s">
        <v>62</v>
      </c>
      <c r="C47" s="39">
        <v>1</v>
      </c>
      <c r="D47" s="40">
        <v>2400000</v>
      </c>
      <c r="E47" s="75">
        <f t="shared" ref="E47" si="3">D47*C47</f>
        <v>2400000</v>
      </c>
    </row>
    <row r="48" spans="1:5" s="2" customFormat="1" ht="13.25">
      <c r="A48" s="76"/>
      <c r="B48" s="41"/>
      <c r="C48" s="42"/>
      <c r="D48" s="43"/>
      <c r="E48" s="77">
        <f>SUM(E46:E47)</f>
        <v>7200000</v>
      </c>
    </row>
    <row r="49" spans="1:5" s="2" customFormat="1" ht="23.05" customHeight="1">
      <c r="A49" s="67" t="s">
        <v>6</v>
      </c>
      <c r="B49" s="44" t="s">
        <v>22</v>
      </c>
      <c r="C49" s="21" t="s">
        <v>5</v>
      </c>
      <c r="D49" s="45" t="s">
        <v>4</v>
      </c>
      <c r="E49" s="78" t="s">
        <v>7</v>
      </c>
    </row>
    <row r="50" spans="1:5" s="5" customFormat="1" ht="13.25">
      <c r="A50" s="79">
        <v>1</v>
      </c>
      <c r="B50" s="28" t="s">
        <v>64</v>
      </c>
      <c r="C50" s="29">
        <v>1</v>
      </c>
      <c r="D50" s="30">
        <v>1700000</v>
      </c>
      <c r="E50" s="71">
        <f>D50*C50</f>
        <v>1700000</v>
      </c>
    </row>
    <row r="51" spans="1:5" s="5" customFormat="1" ht="13.25">
      <c r="A51" s="79">
        <v>1</v>
      </c>
      <c r="B51" s="28" t="s">
        <v>63</v>
      </c>
      <c r="C51" s="29">
        <v>1</v>
      </c>
      <c r="D51" s="30">
        <v>1600000</v>
      </c>
      <c r="E51" s="71">
        <f>D51*C51</f>
        <v>1600000</v>
      </c>
    </row>
    <row r="52" spans="1:5" s="5" customFormat="1" ht="13.25">
      <c r="A52" s="79">
        <v>2</v>
      </c>
      <c r="B52" s="28" t="s">
        <v>65</v>
      </c>
      <c r="C52" s="29">
        <v>20</v>
      </c>
      <c r="D52" s="30">
        <v>100000</v>
      </c>
      <c r="E52" s="71">
        <f>D52*C52</f>
        <v>2000000</v>
      </c>
    </row>
    <row r="53" spans="1:5" s="5" customFormat="1" ht="13.25">
      <c r="A53" s="80"/>
      <c r="B53" s="46"/>
      <c r="C53" s="47"/>
      <c r="D53" s="48"/>
      <c r="E53" s="81">
        <f>SUM(E50:E52)</f>
        <v>5300000</v>
      </c>
    </row>
    <row r="54" spans="1:5" s="6" customFormat="1" ht="23.05" customHeight="1">
      <c r="A54" s="67" t="s">
        <v>6</v>
      </c>
      <c r="B54" s="44" t="s">
        <v>23</v>
      </c>
      <c r="C54" s="21" t="s">
        <v>5</v>
      </c>
      <c r="D54" s="45" t="s">
        <v>4</v>
      </c>
      <c r="E54" s="78" t="s">
        <v>7</v>
      </c>
    </row>
    <row r="55" spans="1:5" s="6" customFormat="1" ht="17.850000000000001">
      <c r="A55" s="79">
        <v>1</v>
      </c>
      <c r="B55" s="28" t="s">
        <v>66</v>
      </c>
      <c r="C55" s="29">
        <v>2</v>
      </c>
      <c r="D55" s="30">
        <v>8000000</v>
      </c>
      <c r="E55" s="71">
        <f t="shared" ref="E55:E57" si="4">D55*C55</f>
        <v>16000000</v>
      </c>
    </row>
    <row r="56" spans="1:5" s="6" customFormat="1" ht="17.850000000000001">
      <c r="A56" s="79">
        <v>2</v>
      </c>
      <c r="B56" s="28" t="s">
        <v>67</v>
      </c>
      <c r="C56" s="29">
        <v>12</v>
      </c>
      <c r="D56" s="30">
        <v>150000</v>
      </c>
      <c r="E56" s="71">
        <f t="shared" si="4"/>
        <v>1800000</v>
      </c>
    </row>
    <row r="57" spans="1:5" s="6" customFormat="1" ht="17.850000000000001">
      <c r="A57" s="79">
        <v>3</v>
      </c>
      <c r="B57" s="28" t="s">
        <v>68</v>
      </c>
      <c r="C57" s="29">
        <v>1</v>
      </c>
      <c r="D57" s="30">
        <v>2000000</v>
      </c>
      <c r="E57" s="71">
        <f t="shared" si="4"/>
        <v>2000000</v>
      </c>
    </row>
    <row r="58" spans="1:5" s="6" customFormat="1" ht="17.850000000000001">
      <c r="A58" s="80"/>
      <c r="B58" s="46"/>
      <c r="C58" s="47"/>
      <c r="D58" s="48"/>
      <c r="E58" s="81">
        <f>SUM(E55:E57)</f>
        <v>19800000</v>
      </c>
    </row>
    <row r="59" spans="1:5" s="7" customFormat="1" ht="23.05" customHeight="1">
      <c r="A59" s="67" t="s">
        <v>6</v>
      </c>
      <c r="B59" s="44" t="s">
        <v>33</v>
      </c>
      <c r="C59" s="21" t="s">
        <v>5</v>
      </c>
      <c r="D59" s="45" t="s">
        <v>4</v>
      </c>
      <c r="E59" s="78" t="s">
        <v>7</v>
      </c>
    </row>
    <row r="60" spans="1:5" s="7" customFormat="1" ht="17.850000000000001">
      <c r="A60" s="79">
        <v>1</v>
      </c>
      <c r="B60" s="28" t="s">
        <v>24</v>
      </c>
      <c r="C60" s="29">
        <v>1</v>
      </c>
      <c r="D60" s="30">
        <v>2000000</v>
      </c>
      <c r="E60" s="71">
        <f>D60*C60</f>
        <v>2000000</v>
      </c>
    </row>
    <row r="61" spans="1:5" s="7" customFormat="1" ht="17.850000000000001">
      <c r="A61" s="82"/>
      <c r="B61" s="49"/>
      <c r="C61" s="49"/>
      <c r="D61" s="49"/>
      <c r="E61" s="83">
        <f>SUM(E60:E60)</f>
        <v>2000000</v>
      </c>
    </row>
    <row r="62" spans="1:5" s="7" customFormat="1" ht="18.45" thickBot="1">
      <c r="A62" s="84"/>
      <c r="B62" s="50"/>
      <c r="C62" s="50"/>
      <c r="D62" s="50"/>
      <c r="E62" s="83"/>
    </row>
    <row r="63" spans="1:5" s="1" customFormat="1" ht="13.25">
      <c r="A63" s="85"/>
      <c r="B63" s="51" t="s">
        <v>30</v>
      </c>
      <c r="C63" s="52"/>
      <c r="D63" s="90" t="s">
        <v>25</v>
      </c>
      <c r="E63" s="91">
        <f>SUM(E27+E39+E44+E48+E53+E58+E61)</f>
        <v>76880000</v>
      </c>
    </row>
    <row r="64" spans="1:5" s="1" customFormat="1" ht="13.25">
      <c r="A64" s="86"/>
      <c r="B64" s="53" t="s">
        <v>28</v>
      </c>
      <c r="C64" s="52"/>
      <c r="D64" s="92" t="s">
        <v>26</v>
      </c>
      <c r="E64" s="93">
        <v>0</v>
      </c>
    </row>
    <row r="65" spans="1:5" s="1" customFormat="1" ht="35.75" customHeight="1" thickBot="1">
      <c r="A65" s="85"/>
      <c r="B65" s="53" t="s">
        <v>29</v>
      </c>
      <c r="C65" s="52"/>
      <c r="D65" s="94" t="s">
        <v>27</v>
      </c>
      <c r="E65" s="95">
        <f>SUM(E63:E64)</f>
        <v>76880000</v>
      </c>
    </row>
    <row r="66" spans="1:5" ht="187.8" customHeight="1" thickBot="1">
      <c r="A66" s="87" t="s">
        <v>31</v>
      </c>
      <c r="B66" s="88"/>
      <c r="C66" s="88"/>
      <c r="D66" s="88"/>
      <c r="E66" s="89"/>
    </row>
  </sheetData>
  <mergeCells count="10">
    <mergeCell ref="A53:D53"/>
    <mergeCell ref="A58:D58"/>
    <mergeCell ref="A61:D61"/>
    <mergeCell ref="A66:E66"/>
    <mergeCell ref="A1:E1"/>
    <mergeCell ref="C2:E4"/>
    <mergeCell ref="B9:B10"/>
    <mergeCell ref="A11:E11"/>
    <mergeCell ref="D12:E12"/>
    <mergeCell ref="C5:E10"/>
  </mergeCells>
  <pageMargins left="0.7" right="0.7" top="0.75" bottom="0.75" header="0.3" footer="0.3"/>
  <pageSetup paperSize="9" scale="85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Cotización</vt:lpstr>
      <vt:lpstr>Cotización!Área_de_impresión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Mgs Comercial</cp:lastModifiedBy>
  <cp:lastPrinted>2026-08-31T05:14:18Z</cp:lastPrinted>
  <dcterms:created xsi:type="dcterms:W3CDTF">2023-10-30T17:28:55Z</dcterms:created>
  <dcterms:modified xsi:type="dcterms:W3CDTF">2026-08-31T05:15:00Z</dcterms:modified>
</cp:coreProperties>
</file>