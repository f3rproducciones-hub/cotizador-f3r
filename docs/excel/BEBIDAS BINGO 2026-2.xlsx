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STRO 14 3000\Documents\F3R\10. OCTUBRE\ENAP\Family Day\"/>
    </mc:Choice>
  </mc:AlternateContent>
  <xr:revisionPtr revIDLastSave="0" documentId="13_ncr:1_{550AE954-85FC-4D74-8C28-98CFAE7D7F50}" xr6:coauthVersionLast="47" xr6:coauthVersionMax="47" xr10:uidLastSave="{00000000-0000-0000-0000-000000000000}"/>
  <bookViews>
    <workbookView xWindow="-120" yWindow="-120" windowWidth="20730" windowHeight="11040" xr2:uid="{41D8D2D1-E459-49CB-8F85-1DF8CD885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" i="1" l="1"/>
  <c r="M66" i="1"/>
  <c r="H67" i="1"/>
  <c r="H66" i="1"/>
  <c r="D72" i="1"/>
  <c r="C70" i="1"/>
  <c r="B72" i="1"/>
  <c r="B70" i="1"/>
  <c r="B71" i="1"/>
  <c r="F32" i="1"/>
  <c r="F17" i="1"/>
  <c r="H30" i="1"/>
  <c r="J21" i="1"/>
  <c r="J22" i="1"/>
  <c r="J24" i="1"/>
  <c r="J25" i="1"/>
  <c r="J26" i="1"/>
  <c r="J27" i="1"/>
  <c r="J28" i="1"/>
  <c r="J29" i="1"/>
  <c r="J30" i="1"/>
  <c r="J31" i="1"/>
  <c r="J20" i="1"/>
  <c r="J5" i="1"/>
  <c r="M17" i="1"/>
  <c r="J17" i="1"/>
  <c r="H17" i="1"/>
  <c r="C6" i="1"/>
  <c r="D6" i="1" s="1"/>
  <c r="F9" i="1"/>
  <c r="F12" i="1"/>
  <c r="F13" i="1"/>
  <c r="J13" i="1"/>
  <c r="F21" i="1"/>
  <c r="F22" i="1"/>
  <c r="F24" i="1"/>
  <c r="F25" i="1"/>
  <c r="F26" i="1"/>
  <c r="F27" i="1"/>
  <c r="F28" i="1"/>
  <c r="F29" i="1"/>
  <c r="F30" i="1"/>
  <c r="F31" i="1"/>
  <c r="F61" i="1"/>
  <c r="D61" i="1"/>
  <c r="K61" i="1" s="1"/>
  <c r="F60" i="1"/>
  <c r="D60" i="1"/>
  <c r="K60" i="1" s="1"/>
  <c r="F59" i="1"/>
  <c r="D59" i="1"/>
  <c r="K59" i="1" s="1"/>
  <c r="F58" i="1"/>
  <c r="D58" i="1"/>
  <c r="K58" i="1" s="1"/>
  <c r="M58" i="1" s="1"/>
  <c r="F57" i="1"/>
  <c r="D57" i="1"/>
  <c r="K57" i="1" s="1"/>
  <c r="M57" i="1" s="1"/>
  <c r="F56" i="1"/>
  <c r="D56" i="1"/>
  <c r="K56" i="1" s="1"/>
  <c r="F55" i="1"/>
  <c r="D55" i="1"/>
  <c r="K55" i="1" s="1"/>
  <c r="M55" i="1" s="1"/>
  <c r="F54" i="1"/>
  <c r="D54" i="1"/>
  <c r="K54" i="1" s="1"/>
  <c r="F53" i="1"/>
  <c r="D53" i="1"/>
  <c r="K53" i="1" s="1"/>
  <c r="D52" i="1"/>
  <c r="K52" i="1" s="1"/>
  <c r="F51" i="1"/>
  <c r="D51" i="1"/>
  <c r="F50" i="1"/>
  <c r="D50" i="1"/>
  <c r="K50" i="1" s="1"/>
  <c r="F46" i="1"/>
  <c r="D46" i="1"/>
  <c r="K46" i="1" s="1"/>
  <c r="F36" i="1"/>
  <c r="F38" i="1"/>
  <c r="F39" i="1"/>
  <c r="F40" i="1"/>
  <c r="F41" i="1"/>
  <c r="F42" i="1"/>
  <c r="F43" i="1"/>
  <c r="F44" i="1"/>
  <c r="F45" i="1"/>
  <c r="F35" i="1"/>
  <c r="D45" i="1"/>
  <c r="K45" i="1" s="1"/>
  <c r="D44" i="1"/>
  <c r="K44" i="1" s="1"/>
  <c r="D43" i="1"/>
  <c r="K43" i="1" s="1"/>
  <c r="D42" i="1"/>
  <c r="K42" i="1" s="1"/>
  <c r="D41" i="1"/>
  <c r="K41" i="1" s="1"/>
  <c r="D40" i="1"/>
  <c r="D39" i="1"/>
  <c r="D38" i="1"/>
  <c r="D37" i="1"/>
  <c r="D36" i="1"/>
  <c r="D35" i="1"/>
  <c r="K35" i="1" s="1"/>
  <c r="C15" i="1"/>
  <c r="D15" i="1" s="1"/>
  <c r="C16" i="1"/>
  <c r="D16" i="1" s="1"/>
  <c r="H16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K7" i="1" s="1"/>
  <c r="C5" i="1"/>
  <c r="D5" i="1" s="1"/>
  <c r="C4" i="1"/>
  <c r="D4" i="1" s="1"/>
  <c r="G16" i="1"/>
  <c r="F20" i="1"/>
  <c r="D31" i="1"/>
  <c r="K31" i="1" s="1"/>
  <c r="D30" i="1"/>
  <c r="K30" i="1" s="1"/>
  <c r="D29" i="1"/>
  <c r="K29" i="1" s="1"/>
  <c r="D28" i="1"/>
  <c r="K28" i="1" s="1"/>
  <c r="D27" i="1"/>
  <c r="K27" i="1" s="1"/>
  <c r="D21" i="1"/>
  <c r="D20" i="1"/>
  <c r="K20" i="1" s="1"/>
  <c r="D22" i="1"/>
  <c r="K22" i="1" s="1"/>
  <c r="L22" i="1" s="1"/>
  <c r="D23" i="1"/>
  <c r="K23" i="1" s="1"/>
  <c r="D24" i="1"/>
  <c r="K24" i="1" s="1"/>
  <c r="D25" i="1"/>
  <c r="K25" i="1" s="1"/>
  <c r="D26" i="1"/>
  <c r="K26" i="1" s="1"/>
  <c r="L6" i="1" l="1"/>
  <c r="K6" i="1"/>
  <c r="L15" i="1"/>
  <c r="K15" i="1"/>
  <c r="L14" i="1"/>
  <c r="K14" i="1"/>
  <c r="L13" i="1"/>
  <c r="K13" i="1"/>
  <c r="L12" i="1"/>
  <c r="K12" i="1"/>
  <c r="L11" i="1"/>
  <c r="K11" i="1"/>
  <c r="L10" i="1"/>
  <c r="K10" i="1"/>
  <c r="L8" i="1"/>
  <c r="K8" i="1"/>
  <c r="L5" i="1"/>
  <c r="K5" i="1"/>
  <c r="L4" i="1"/>
  <c r="K4" i="1"/>
  <c r="H61" i="1"/>
  <c r="H55" i="1"/>
  <c r="H57" i="1"/>
  <c r="H56" i="1"/>
  <c r="H60" i="1"/>
  <c r="H54" i="1"/>
  <c r="H53" i="1"/>
  <c r="H59" i="1"/>
  <c r="H58" i="1"/>
  <c r="H50" i="1"/>
  <c r="L61" i="1"/>
  <c r="M61" i="1"/>
  <c r="L60" i="1"/>
  <c r="M60" i="1"/>
  <c r="L59" i="1"/>
  <c r="M59" i="1"/>
  <c r="L56" i="1"/>
  <c r="M56" i="1"/>
  <c r="M54" i="1"/>
  <c r="L54" i="1"/>
  <c r="L53" i="1"/>
  <c r="M53" i="1"/>
  <c r="H51" i="1"/>
  <c r="M51" i="1"/>
  <c r="L50" i="1"/>
  <c r="M50" i="1"/>
  <c r="M35" i="1"/>
  <c r="M26" i="1"/>
  <c r="H43" i="1"/>
  <c r="M43" i="1"/>
  <c r="M42" i="1"/>
  <c r="H46" i="1"/>
  <c r="L46" i="1"/>
  <c r="M46" i="1"/>
  <c r="K40" i="1"/>
  <c r="M40" i="1" s="1"/>
  <c r="H40" i="1"/>
  <c r="K39" i="1"/>
  <c r="H39" i="1"/>
  <c r="H45" i="1"/>
  <c r="H41" i="1"/>
  <c r="H35" i="1"/>
  <c r="H42" i="1"/>
  <c r="H44" i="1"/>
  <c r="M45" i="1"/>
  <c r="L45" i="1"/>
  <c r="L44" i="1"/>
  <c r="M44" i="1"/>
  <c r="L41" i="1"/>
  <c r="M41" i="1"/>
  <c r="K38" i="1"/>
  <c r="H38" i="1"/>
  <c r="K37" i="1"/>
  <c r="H36" i="1"/>
  <c r="M36" i="1"/>
  <c r="L35" i="1"/>
  <c r="L9" i="1"/>
  <c r="K9" i="1"/>
  <c r="M22" i="1"/>
  <c r="M29" i="1"/>
  <c r="L7" i="1"/>
  <c r="L25" i="1"/>
  <c r="M25" i="1"/>
  <c r="M28" i="1"/>
  <c r="L31" i="1"/>
  <c r="M31" i="1"/>
  <c r="L30" i="1"/>
  <c r="M30" i="1"/>
  <c r="L20" i="1"/>
  <c r="M20" i="1"/>
  <c r="L27" i="1"/>
  <c r="M27" i="1"/>
  <c r="L24" i="1"/>
  <c r="H20" i="1"/>
  <c r="H22" i="1"/>
  <c r="M62" i="1" l="1"/>
  <c r="M39" i="1"/>
  <c r="L39" i="1"/>
  <c r="L38" i="1"/>
  <c r="M38" i="1"/>
  <c r="M24" i="1"/>
  <c r="H25" i="1"/>
  <c r="H31" i="1"/>
  <c r="H28" i="1"/>
  <c r="H29" i="1"/>
  <c r="H27" i="1"/>
  <c r="H26" i="1"/>
  <c r="J12" i="1"/>
  <c r="H13" i="1"/>
  <c r="M13" i="1" s="1"/>
  <c r="M47" i="1" l="1"/>
  <c r="M21" i="1"/>
  <c r="H21" i="1"/>
  <c r="H24" i="1"/>
  <c r="H12" i="1"/>
  <c r="M12" i="1" l="1"/>
  <c r="F7" i="1" l="1"/>
  <c r="H7" i="1" l="1"/>
  <c r="J7" i="1"/>
  <c r="H9" i="1"/>
  <c r="J9" i="1"/>
  <c r="M7" i="1" l="1"/>
  <c r="M9" i="1"/>
  <c r="F8" i="1"/>
  <c r="H8" i="1" l="1"/>
  <c r="M8" i="1" s="1"/>
  <c r="J8" i="1"/>
  <c r="F4" i="1"/>
  <c r="F6" i="1"/>
  <c r="H4" i="1" l="1"/>
  <c r="J4" i="1"/>
  <c r="M4" i="1" s="1"/>
  <c r="H6" i="1"/>
  <c r="J6" i="1"/>
  <c r="F5" i="1"/>
  <c r="M6" i="1" l="1"/>
  <c r="H5" i="1"/>
  <c r="M5" i="1" l="1"/>
  <c r="F14" i="1"/>
  <c r="J14" i="1" l="1"/>
  <c r="H14" i="1"/>
  <c r="M14" i="1" l="1"/>
  <c r="F10" i="1"/>
  <c r="H10" i="1" l="1"/>
  <c r="J10" i="1"/>
  <c r="M10" i="1"/>
  <c r="F11" i="1"/>
  <c r="H11" i="1" s="1"/>
  <c r="J11" i="1"/>
  <c r="M11" i="1" s="1"/>
  <c r="F15" i="1"/>
  <c r="J15" i="1" s="1"/>
  <c r="H15" i="1"/>
  <c r="M15" i="1" l="1"/>
  <c r="F23" i="1"/>
  <c r="M23" i="1" s="1"/>
  <c r="M32" i="1" s="1"/>
  <c r="C72" i="1"/>
  <c r="H23" i="1"/>
  <c r="H32" i="1" s="1"/>
  <c r="J23" i="1"/>
  <c r="J32" i="1"/>
  <c r="F37" i="1"/>
  <c r="G37" i="1"/>
  <c r="H37" i="1"/>
  <c r="F52" i="1"/>
  <c r="G52" i="1"/>
  <c r="H52" i="1"/>
  <c r="M52" i="1"/>
  <c r="M37" i="1"/>
</calcChain>
</file>

<file path=xl/sharedStrings.xml><?xml version="1.0" encoding="utf-8"?>
<sst xmlns="http://schemas.openxmlformats.org/spreadsheetml/2006/main" count="107" uniqueCount="66">
  <si>
    <t>COMPRAS BEBIDAS</t>
  </si>
  <si>
    <t>POSTOBON</t>
  </si>
  <si>
    <t>PRODUCTO</t>
  </si>
  <si>
    <t>CAJA POR</t>
  </si>
  <si>
    <t>PRECIO CAJA</t>
  </si>
  <si>
    <t>PRECIO UNITARIO</t>
  </si>
  <si>
    <t>VALOR TOTAL</t>
  </si>
  <si>
    <t>Agua Cristal 300ml</t>
  </si>
  <si>
    <t>Agua Cristal 600ml</t>
  </si>
  <si>
    <t>SQUASH Frutas Tropical 500ml</t>
  </si>
  <si>
    <t>Jugo Hit 500ml</t>
  </si>
  <si>
    <t>Gaseosa 400ml</t>
  </si>
  <si>
    <t>Gatorade 500ml Frutos Tropicales</t>
  </si>
  <si>
    <t>Mr Tea Durazno</t>
  </si>
  <si>
    <t>Red Bull Lata 250ml</t>
  </si>
  <si>
    <t>Cerveza Andina Light Lata 269ml</t>
  </si>
  <si>
    <t>Cerveza Andina Lata 269ml</t>
  </si>
  <si>
    <t>Cerveza Sol</t>
  </si>
  <si>
    <t>COCA COLA</t>
  </si>
  <si>
    <t>Coca Cola Original 400 ml</t>
  </si>
  <si>
    <t>Coca Cola Zero 400 ml</t>
  </si>
  <si>
    <t>Coca Cola Original 250 ml</t>
  </si>
  <si>
    <t>Kola Roman 400ml</t>
  </si>
  <si>
    <t>Coca Cola Zero 250 ml</t>
  </si>
  <si>
    <t>Agua Saborizada Manzana 600ml</t>
  </si>
  <si>
    <t>Agua Saborizada Manzana 280ml</t>
  </si>
  <si>
    <t>Agua Brisa 600ml</t>
  </si>
  <si>
    <t>Powerade FT</t>
  </si>
  <si>
    <t>Powerade MB</t>
  </si>
  <si>
    <t>Jugo Frutal Mango 500ml</t>
  </si>
  <si>
    <t>PEDIDO CAJAS</t>
  </si>
  <si>
    <t>PRECIO DE VENTA</t>
  </si>
  <si>
    <t>UTILIDAD</t>
  </si>
  <si>
    <t>% UTILIDAD</t>
  </si>
  <si>
    <t>COSTO UNITARIO</t>
  </si>
  <si>
    <t>COSTO CAJA</t>
  </si>
  <si>
    <t>PEDIDO 2025</t>
  </si>
  <si>
    <t>PEDIDO 2026</t>
  </si>
  <si>
    <t>UTILIDAD PROYECTADA</t>
  </si>
  <si>
    <t>Inversión</t>
  </si>
  <si>
    <t>Utilidad</t>
  </si>
  <si>
    <t>Inversión x socio</t>
  </si>
  <si>
    <t>Utilidad x socio</t>
  </si>
  <si>
    <t>PEDIDO EN CAJAS</t>
  </si>
  <si>
    <t>PEDIDO FINAL POR TIPO DE PRODUCTO</t>
  </si>
  <si>
    <t>Bebidas NO Alcocholicas</t>
  </si>
  <si>
    <t>Bebidas Alcoholicas</t>
  </si>
  <si>
    <t>TOTAL PRODUCTOS</t>
  </si>
  <si>
    <t>VALOR COMPRA</t>
  </si>
  <si>
    <t>VENTA X ITEM</t>
  </si>
  <si>
    <t>Cerveza Heineken lata 310ml</t>
  </si>
  <si>
    <t>OASIS - PAISITA</t>
  </si>
  <si>
    <t>Gaseosa 400ml Postobon</t>
  </si>
  <si>
    <t>Jugos Hit</t>
  </si>
  <si>
    <t>Squash</t>
  </si>
  <si>
    <t xml:space="preserve">Agua CRISTAL </t>
  </si>
  <si>
    <t>Agua CRISTAL con GAS</t>
  </si>
  <si>
    <t>OASIS</t>
  </si>
  <si>
    <t>Agua</t>
  </si>
  <si>
    <t>COMPRAS ARA JONATHAN</t>
  </si>
  <si>
    <t>Relación Gastos</t>
  </si>
  <si>
    <t>Mano de Obra</t>
  </si>
  <si>
    <t>Hielo</t>
  </si>
  <si>
    <t>Gastos varios</t>
  </si>
  <si>
    <t>Jugo Frutal FRS  500ml</t>
  </si>
  <si>
    <t>Agua Cristal 600ml CON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</si>
</sst>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36C0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2" fillId="0" borderId="0" xfId="1" applyNumberFormat="1" applyFont="1"/>
    <xf numFmtId="0" fontId="0" fillId="0" borderId="8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1" applyNumberFormat="1" applyFont="1" applyBorder="1"/>
    <xf numFmtId="9" fontId="0" fillId="0" borderId="10" xfId="2" applyFont="1" applyBorder="1"/>
    <xf numFmtId="0" fontId="0" fillId="0" borderId="14" xfId="0" applyBorder="1" applyAlignment="1">
      <alignment horizontal="center" vertical="center"/>
    </xf>
    <xf numFmtId="164" fontId="0" fillId="0" borderId="15" xfId="0" applyNumberFormat="1" applyBorder="1"/>
    <xf numFmtId="0" fontId="0" fillId="0" borderId="17" xfId="0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0" fontId="0" fillId="0" borderId="10" xfId="0" applyBorder="1"/>
    <xf numFmtId="164" fontId="0" fillId="0" borderId="21" xfId="0" applyNumberFormat="1" applyBorder="1" applyAlignment="1">
      <alignment horizontal="center" vertical="center"/>
    </xf>
    <xf numFmtId="164" fontId="0" fillId="0" borderId="21" xfId="1" applyNumberFormat="1" applyFont="1" applyBorder="1"/>
    <xf numFmtId="9" fontId="0" fillId="0" borderId="21" xfId="2" applyFont="1" applyBorder="1"/>
    <xf numFmtId="164" fontId="2" fillId="0" borderId="11" xfId="0" applyNumberFormat="1" applyFont="1" applyBorder="1" applyAlignment="1">
      <alignment horizontal="center" vertical="center"/>
    </xf>
    <xf numFmtId="164" fontId="0" fillId="0" borderId="12" xfId="1" applyNumberFormat="1" applyFont="1" applyBorder="1"/>
    <xf numFmtId="0" fontId="0" fillId="0" borderId="12" xfId="0" applyBorder="1"/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64" fontId="3" fillId="2" borderId="18" xfId="1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9" xfId="0" applyNumberFormat="1" applyFont="1" applyBorder="1"/>
    <xf numFmtId="0" fontId="3" fillId="2" borderId="18" xfId="1" applyNumberFormat="1" applyFont="1" applyFill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3" fillId="3" borderId="12" xfId="1" applyNumberFormat="1" applyFont="1" applyFill="1" applyBorder="1" applyAlignment="1">
      <alignment horizontal="center" vertical="center"/>
    </xf>
    <xf numFmtId="0" fontId="0" fillId="0" borderId="17" xfId="1" applyNumberFormat="1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4" fontId="2" fillId="0" borderId="22" xfId="1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/>
    <xf numFmtId="0" fontId="2" fillId="0" borderId="1" xfId="0" applyFont="1" applyBorder="1" applyAlignment="1">
      <alignment horizontal="center" vertical="center"/>
    </xf>
    <xf numFmtId="164" fontId="2" fillId="0" borderId="23" xfId="1" applyNumberFormat="1" applyFont="1" applyBorder="1"/>
    <xf numFmtId="9" fontId="2" fillId="0" borderId="1" xfId="2" applyFont="1" applyBorder="1"/>
    <xf numFmtId="0" fontId="2" fillId="0" borderId="1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 vertical="center"/>
    </xf>
    <xf numFmtId="164" fontId="0" fillId="0" borderId="25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1" applyNumberFormat="1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1" applyNumberFormat="1" applyFont="1" applyFill="1" applyBorder="1" applyAlignment="1">
      <alignment horizontal="center" vertical="center"/>
    </xf>
    <xf numFmtId="164" fontId="3" fillId="4" borderId="13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2" fillId="0" borderId="29" xfId="1" applyNumberFormat="1" applyFont="1" applyBorder="1"/>
    <xf numFmtId="164" fontId="2" fillId="0" borderId="0" xfId="1" applyNumberFormat="1" applyFont="1" applyBorder="1"/>
    <xf numFmtId="164" fontId="0" fillId="0" borderId="0" xfId="0" applyNumberFormat="1"/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164" fontId="3" fillId="7" borderId="12" xfId="1" applyNumberFormat="1" applyFont="1" applyFill="1" applyBorder="1" applyAlignment="1">
      <alignment horizontal="center" vertical="center"/>
    </xf>
    <xf numFmtId="0" fontId="3" fillId="7" borderId="12" xfId="1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1" applyNumberFormat="1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D36C0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F88E-CC05-4893-ABC1-08C7692A76E3}">
  <dimension ref="A1:N72"/>
  <sheetViews>
    <sheetView tabSelected="1" topLeftCell="A14" zoomScaleNormal="100" workbookViewId="0">
      <selection activeCell="N69" sqref="N69"/>
    </sheetView>
  </sheetViews>
  <sheetFormatPr baseColWidth="10" defaultRowHeight="15" x14ac:dyDescent="0.25"/>
  <cols>
    <col min="1" max="1" width="33.85546875" style="1" customWidth="1"/>
    <col min="2" max="2" width="11.140625" style="1"/>
    <col min="3" max="3" width="12.85546875" style="2" customWidth="1"/>
    <col min="4" max="4" width="15.140625" style="2" customWidth="1"/>
    <col min="5" max="5" width="15.140625" style="39" hidden="1" customWidth="1"/>
    <col min="6" max="6" width="12.140625" style="1" customWidth="1"/>
    <col min="7" max="7" width="14.85546875" style="1" customWidth="1"/>
    <col min="8" max="8" width="14.28515625" style="1" customWidth="1"/>
    <col min="9" max="10" width="15.5703125" style="3" customWidth="1"/>
    <col min="11" max="11" width="12.42578125" style="3" bestFit="1" customWidth="1"/>
    <col min="12" max="12" width="12.7109375" customWidth="1"/>
    <col min="13" max="13" width="25.42578125" customWidth="1"/>
    <col min="14" max="14" width="12.42578125" bestFit="1" customWidth="1"/>
  </cols>
  <sheetData>
    <row r="1" spans="1:13" ht="27.6" customHeight="1" thickBo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</row>
    <row r="2" spans="1:13" ht="30" customHeight="1" thickBot="1" x14ac:dyDescent="0.3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1:13" x14ac:dyDescent="0.25">
      <c r="A3" s="28" t="s">
        <v>2</v>
      </c>
      <c r="B3" s="29" t="s">
        <v>3</v>
      </c>
      <c r="C3" s="30" t="s">
        <v>35</v>
      </c>
      <c r="D3" s="30" t="s">
        <v>34</v>
      </c>
      <c r="E3" s="34" t="s">
        <v>36</v>
      </c>
      <c r="F3" s="29" t="s">
        <v>37</v>
      </c>
      <c r="G3" s="29" t="s">
        <v>30</v>
      </c>
      <c r="H3" s="29" t="s">
        <v>48</v>
      </c>
      <c r="I3" s="30" t="s">
        <v>31</v>
      </c>
      <c r="J3" s="30" t="s">
        <v>49</v>
      </c>
      <c r="K3" s="30" t="s">
        <v>32</v>
      </c>
      <c r="L3" s="29" t="s">
        <v>33</v>
      </c>
      <c r="M3" s="31" t="s">
        <v>38</v>
      </c>
    </row>
    <row r="4" spans="1:13" x14ac:dyDescent="0.25">
      <c r="A4" s="14" t="s">
        <v>7</v>
      </c>
      <c r="B4" s="9">
        <v>24</v>
      </c>
      <c r="C4" s="10">
        <f>14000*0.9</f>
        <v>12600</v>
      </c>
      <c r="D4" s="10">
        <f>C4/B4</f>
        <v>525</v>
      </c>
      <c r="E4" s="35"/>
      <c r="F4" s="95">
        <f t="shared" ref="F4:F6" si="0">G4*B4</f>
        <v>0</v>
      </c>
      <c r="G4" s="95">
        <v>0</v>
      </c>
      <c r="H4" s="11">
        <f t="shared" ref="H4:H16" si="1">F4*D4</f>
        <v>0</v>
      </c>
      <c r="I4" s="12">
        <v>5000</v>
      </c>
      <c r="J4" s="12">
        <f t="shared" ref="J4:J15" si="2">I4*F4</f>
        <v>0</v>
      </c>
      <c r="K4" s="12">
        <f t="shared" ref="K4:K6" si="3">I4-D4</f>
        <v>4475</v>
      </c>
      <c r="L4" s="13">
        <f t="shared" ref="L4:L6" si="4">(I4-D4)/D4</f>
        <v>8.5238095238095237</v>
      </c>
      <c r="M4" s="15">
        <f>J4-H4</f>
        <v>0</v>
      </c>
    </row>
    <row r="5" spans="1:13" x14ac:dyDescent="0.25">
      <c r="A5" s="14" t="s">
        <v>8</v>
      </c>
      <c r="B5" s="9">
        <v>24</v>
      </c>
      <c r="C5" s="10">
        <f>32000*0.9</f>
        <v>28800</v>
      </c>
      <c r="D5" s="10">
        <f t="shared" ref="D5:D26" si="5">C5/B5</f>
        <v>1200</v>
      </c>
      <c r="E5" s="35">
        <v>600</v>
      </c>
      <c r="F5" s="63">
        <f t="shared" si="0"/>
        <v>960</v>
      </c>
      <c r="G5" s="9">
        <v>40</v>
      </c>
      <c r="H5" s="11">
        <f t="shared" si="1"/>
        <v>1152000</v>
      </c>
      <c r="I5" s="12">
        <v>5000</v>
      </c>
      <c r="J5" s="12">
        <f>I5*F5</f>
        <v>4800000</v>
      </c>
      <c r="K5" s="12">
        <f t="shared" si="3"/>
        <v>3800</v>
      </c>
      <c r="L5" s="13">
        <f t="shared" si="4"/>
        <v>3.1666666666666665</v>
      </c>
      <c r="M5" s="15">
        <f t="shared" ref="M5:M15" si="6">J5-H5</f>
        <v>3648000</v>
      </c>
    </row>
    <row r="6" spans="1:13" x14ac:dyDescent="0.25">
      <c r="A6" s="14" t="s">
        <v>65</v>
      </c>
      <c r="B6" s="9">
        <v>24</v>
      </c>
      <c r="C6" s="10">
        <f>32000*0.9</f>
        <v>28800</v>
      </c>
      <c r="D6" s="10">
        <f t="shared" ref="D6" si="7">C6/B6</f>
        <v>1200</v>
      </c>
      <c r="E6" s="35">
        <v>600</v>
      </c>
      <c r="F6" s="63">
        <f t="shared" si="0"/>
        <v>960</v>
      </c>
      <c r="G6" s="9">
        <v>40</v>
      </c>
      <c r="H6" s="11">
        <f t="shared" ref="H6" si="8">F6*D6</f>
        <v>1152000</v>
      </c>
      <c r="I6" s="12">
        <v>5000</v>
      </c>
      <c r="J6" s="12">
        <f t="shared" ref="J6" si="9">I6*F6</f>
        <v>4800000</v>
      </c>
      <c r="K6" s="12">
        <f t="shared" si="3"/>
        <v>3800</v>
      </c>
      <c r="L6" s="13">
        <f t="shared" si="4"/>
        <v>3.1666666666666665</v>
      </c>
      <c r="M6" s="15">
        <f t="shared" ref="M6" si="10">J6-H6</f>
        <v>3648000</v>
      </c>
    </row>
    <row r="7" spans="1:13" x14ac:dyDescent="0.25">
      <c r="A7" s="68" t="s">
        <v>9</v>
      </c>
      <c r="B7" s="9">
        <v>12</v>
      </c>
      <c r="C7" s="10">
        <f>25000*0.9</f>
        <v>22500</v>
      </c>
      <c r="D7" s="10">
        <f t="shared" si="5"/>
        <v>1875</v>
      </c>
      <c r="E7" s="35">
        <v>300</v>
      </c>
      <c r="F7" s="63">
        <f>G7*B7</f>
        <v>480</v>
      </c>
      <c r="G7" s="63">
        <v>40</v>
      </c>
      <c r="H7" s="11">
        <f t="shared" si="1"/>
        <v>900000</v>
      </c>
      <c r="I7" s="12">
        <v>5000</v>
      </c>
      <c r="J7" s="12">
        <f t="shared" si="2"/>
        <v>2400000</v>
      </c>
      <c r="K7" s="12">
        <f>I7-D7</f>
        <v>3125</v>
      </c>
      <c r="L7" s="13">
        <f>(I7-D7)/D7</f>
        <v>1.6666666666666667</v>
      </c>
      <c r="M7" s="15">
        <f t="shared" si="6"/>
        <v>1500000</v>
      </c>
    </row>
    <row r="8" spans="1:13" x14ac:dyDescent="0.25">
      <c r="A8" s="14" t="s">
        <v>10</v>
      </c>
      <c r="B8" s="9">
        <v>12</v>
      </c>
      <c r="C8" s="10">
        <f>30000*0.9</f>
        <v>27000</v>
      </c>
      <c r="D8" s="10">
        <f t="shared" si="5"/>
        <v>2250</v>
      </c>
      <c r="E8" s="35">
        <v>360</v>
      </c>
      <c r="F8" s="94">
        <f t="shared" ref="F8:F15" si="11">G8*B8</f>
        <v>120</v>
      </c>
      <c r="G8" s="94">
        <v>10</v>
      </c>
      <c r="H8" s="11">
        <f t="shared" si="1"/>
        <v>270000</v>
      </c>
      <c r="I8" s="12">
        <v>5000</v>
      </c>
      <c r="J8" s="12">
        <f t="shared" si="2"/>
        <v>600000</v>
      </c>
      <c r="K8" s="12">
        <f>I8-D8</f>
        <v>2750</v>
      </c>
      <c r="L8" s="13">
        <f>(I8-D8)/D8</f>
        <v>1.2222222222222223</v>
      </c>
      <c r="M8" s="15">
        <f t="shared" si="6"/>
        <v>330000</v>
      </c>
    </row>
    <row r="9" spans="1:13" x14ac:dyDescent="0.25">
      <c r="A9" s="68" t="s">
        <v>11</v>
      </c>
      <c r="B9" s="9">
        <v>15</v>
      </c>
      <c r="C9" s="10">
        <f>31250*0.9</f>
        <v>28125</v>
      </c>
      <c r="D9" s="10">
        <f>C9/B9</f>
        <v>1875</v>
      </c>
      <c r="E9" s="35">
        <v>360</v>
      </c>
      <c r="F9" s="63">
        <f t="shared" si="11"/>
        <v>450</v>
      </c>
      <c r="G9" s="63">
        <v>30</v>
      </c>
      <c r="H9" s="11">
        <f t="shared" si="1"/>
        <v>843750</v>
      </c>
      <c r="I9" s="12">
        <v>5000</v>
      </c>
      <c r="J9" s="12">
        <f t="shared" si="2"/>
        <v>2250000</v>
      </c>
      <c r="K9" s="12">
        <f t="shared" ref="K9:K15" si="12">I9-D9</f>
        <v>3125</v>
      </c>
      <c r="L9" s="13">
        <f t="shared" ref="L9:L15" si="13">(I9-D9)/D9</f>
        <v>1.6666666666666667</v>
      </c>
      <c r="M9" s="15">
        <f t="shared" si="6"/>
        <v>1406250</v>
      </c>
    </row>
    <row r="10" spans="1:13" x14ac:dyDescent="0.25">
      <c r="A10" s="14" t="s">
        <v>12</v>
      </c>
      <c r="B10" s="9">
        <v>12</v>
      </c>
      <c r="C10" s="10">
        <f>37500*0.9</f>
        <v>33750</v>
      </c>
      <c r="D10" s="10">
        <f t="shared" si="5"/>
        <v>2812.5</v>
      </c>
      <c r="E10" s="35">
        <v>204</v>
      </c>
      <c r="F10" s="63">
        <f t="shared" si="11"/>
        <v>0</v>
      </c>
      <c r="G10" s="9">
        <v>0</v>
      </c>
      <c r="H10" s="11">
        <f t="shared" si="1"/>
        <v>0</v>
      </c>
      <c r="I10" s="12">
        <v>5000</v>
      </c>
      <c r="J10" s="12">
        <f t="shared" si="2"/>
        <v>0</v>
      </c>
      <c r="K10" s="12">
        <f t="shared" si="12"/>
        <v>2187.5</v>
      </c>
      <c r="L10" s="13">
        <f t="shared" si="13"/>
        <v>0.77777777777777779</v>
      </c>
      <c r="M10" s="15">
        <f t="shared" si="6"/>
        <v>0</v>
      </c>
    </row>
    <row r="11" spans="1:13" x14ac:dyDescent="0.25">
      <c r="A11" s="14" t="s">
        <v>13</v>
      </c>
      <c r="B11" s="9">
        <v>12</v>
      </c>
      <c r="C11" s="10">
        <f>27000*0.9</f>
        <v>24300</v>
      </c>
      <c r="D11" s="10">
        <f t="shared" si="5"/>
        <v>2025</v>
      </c>
      <c r="E11" s="35"/>
      <c r="F11" s="63">
        <f t="shared" si="11"/>
        <v>0</v>
      </c>
      <c r="G11" s="9">
        <v>0</v>
      </c>
      <c r="H11" s="11">
        <f t="shared" si="1"/>
        <v>0</v>
      </c>
      <c r="I11" s="12">
        <v>5000</v>
      </c>
      <c r="J11" s="12">
        <f t="shared" si="2"/>
        <v>0</v>
      </c>
      <c r="K11" s="12">
        <f t="shared" si="12"/>
        <v>2975</v>
      </c>
      <c r="L11" s="13">
        <f t="shared" si="13"/>
        <v>1.4691358024691359</v>
      </c>
      <c r="M11" s="15">
        <f t="shared" si="6"/>
        <v>0</v>
      </c>
    </row>
    <row r="12" spans="1:13" x14ac:dyDescent="0.25">
      <c r="A12" s="68" t="s">
        <v>14</v>
      </c>
      <c r="B12" s="9">
        <v>24</v>
      </c>
      <c r="C12" s="10">
        <f>153200*0.9</f>
        <v>137880</v>
      </c>
      <c r="D12" s="10">
        <f t="shared" si="5"/>
        <v>5745</v>
      </c>
      <c r="E12" s="35"/>
      <c r="F12" s="63">
        <f t="shared" si="11"/>
        <v>360</v>
      </c>
      <c r="G12" s="63">
        <v>15</v>
      </c>
      <c r="H12" s="11">
        <f t="shared" si="1"/>
        <v>2068200</v>
      </c>
      <c r="I12" s="12">
        <v>10000</v>
      </c>
      <c r="J12" s="12">
        <f t="shared" si="2"/>
        <v>3600000</v>
      </c>
      <c r="K12" s="12">
        <f t="shared" si="12"/>
        <v>4255</v>
      </c>
      <c r="L12" s="13">
        <f t="shared" si="13"/>
        <v>0.7406440382941688</v>
      </c>
      <c r="M12" s="15">
        <f>J12-H12</f>
        <v>1531800</v>
      </c>
    </row>
    <row r="13" spans="1:13" x14ac:dyDescent="0.25">
      <c r="A13" s="68" t="s">
        <v>16</v>
      </c>
      <c r="B13" s="9">
        <v>24</v>
      </c>
      <c r="C13" s="10">
        <f>40800*0.95</f>
        <v>38760</v>
      </c>
      <c r="D13" s="10">
        <f t="shared" si="5"/>
        <v>1615</v>
      </c>
      <c r="E13" s="35">
        <v>2256</v>
      </c>
      <c r="F13" s="63">
        <f t="shared" si="11"/>
        <v>3600</v>
      </c>
      <c r="G13" s="63">
        <v>150</v>
      </c>
      <c r="H13" s="11">
        <f t="shared" si="1"/>
        <v>5814000</v>
      </c>
      <c r="I13" s="12">
        <v>5000</v>
      </c>
      <c r="J13" s="12">
        <f t="shared" si="2"/>
        <v>18000000</v>
      </c>
      <c r="K13" s="12">
        <f t="shared" si="12"/>
        <v>3385</v>
      </c>
      <c r="L13" s="13">
        <f t="shared" si="13"/>
        <v>2.0959752321981426</v>
      </c>
      <c r="M13" s="15">
        <f t="shared" si="6"/>
        <v>12186000</v>
      </c>
    </row>
    <row r="14" spans="1:13" x14ac:dyDescent="0.25">
      <c r="A14" s="68" t="s">
        <v>15</v>
      </c>
      <c r="B14" s="9">
        <v>24</v>
      </c>
      <c r="C14" s="10">
        <f>40000*0.95</f>
        <v>38000</v>
      </c>
      <c r="D14" s="10">
        <f t="shared" si="5"/>
        <v>1583.3333333333333</v>
      </c>
      <c r="E14" s="35">
        <v>456</v>
      </c>
      <c r="F14" s="63">
        <f t="shared" si="11"/>
        <v>0</v>
      </c>
      <c r="G14" s="63">
        <v>0</v>
      </c>
      <c r="H14" s="11">
        <f t="shared" si="1"/>
        <v>0</v>
      </c>
      <c r="I14" s="12">
        <v>5000</v>
      </c>
      <c r="J14" s="12">
        <f t="shared" si="2"/>
        <v>0</v>
      </c>
      <c r="K14" s="12">
        <f t="shared" si="12"/>
        <v>3416.666666666667</v>
      </c>
      <c r="L14" s="13">
        <f t="shared" si="13"/>
        <v>2.1578947368421058</v>
      </c>
      <c r="M14" s="15">
        <f t="shared" si="6"/>
        <v>0</v>
      </c>
    </row>
    <row r="15" spans="1:13" x14ac:dyDescent="0.25">
      <c r="A15" s="68" t="s">
        <v>50</v>
      </c>
      <c r="B15" s="9">
        <v>24</v>
      </c>
      <c r="C15" s="10">
        <f>67200*0.9</f>
        <v>60480</v>
      </c>
      <c r="D15" s="10">
        <f t="shared" si="5"/>
        <v>2520</v>
      </c>
      <c r="E15" s="35">
        <v>2808</v>
      </c>
      <c r="F15" s="63">
        <f t="shared" si="11"/>
        <v>6000</v>
      </c>
      <c r="G15" s="63">
        <v>250</v>
      </c>
      <c r="H15" s="11">
        <f>F15*D15</f>
        <v>15120000</v>
      </c>
      <c r="I15" s="12">
        <v>5000</v>
      </c>
      <c r="J15" s="12">
        <f t="shared" si="2"/>
        <v>30000000</v>
      </c>
      <c r="K15" s="12">
        <f t="shared" si="12"/>
        <v>2480</v>
      </c>
      <c r="L15" s="13">
        <f t="shared" si="13"/>
        <v>0.98412698412698407</v>
      </c>
      <c r="M15" s="15">
        <f t="shared" si="6"/>
        <v>14880000</v>
      </c>
    </row>
    <row r="16" spans="1:13" hidden="1" x14ac:dyDescent="0.25">
      <c r="A16" s="14" t="s">
        <v>17</v>
      </c>
      <c r="B16" s="9">
        <v>24</v>
      </c>
      <c r="C16" s="10">
        <f>60800*0.95</f>
        <v>57760</v>
      </c>
      <c r="D16" s="10">
        <f t="shared" si="5"/>
        <v>2406.6666666666665</v>
      </c>
      <c r="E16" s="35"/>
      <c r="F16" s="9"/>
      <c r="G16" s="9">
        <f>F16/B16</f>
        <v>0</v>
      </c>
      <c r="H16" s="11">
        <f t="shared" si="1"/>
        <v>0</v>
      </c>
      <c r="I16" s="12"/>
      <c r="J16" s="12"/>
      <c r="K16" s="12"/>
      <c r="L16" s="18"/>
      <c r="M16" s="15"/>
    </row>
    <row r="17" spans="1:14" ht="15.75" thickBot="1" x14ac:dyDescent="0.3">
      <c r="A17" s="5"/>
      <c r="C17" s="6"/>
      <c r="D17" s="6"/>
      <c r="E17" s="36"/>
      <c r="F17" s="96">
        <f>SUM(F4:F16)</f>
        <v>12930</v>
      </c>
      <c r="G17" s="71"/>
      <c r="H17" s="8">
        <f>SUM(H4:H15)</f>
        <v>27319950</v>
      </c>
      <c r="I17" s="7"/>
      <c r="J17" s="66">
        <f>SUM(J4:J15)</f>
        <v>66450000</v>
      </c>
      <c r="K17" s="7"/>
      <c r="M17" s="33">
        <f>SUM(M4:M15)</f>
        <v>39130050</v>
      </c>
      <c r="N17" s="67"/>
    </row>
    <row r="18" spans="1:14" ht="30" customHeight="1" thickBot="1" x14ac:dyDescent="0.3">
      <c r="A18" s="82" t="s">
        <v>18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4"/>
    </row>
    <row r="19" spans="1:14" x14ac:dyDescent="0.25">
      <c r="A19" s="25" t="s">
        <v>2</v>
      </c>
      <c r="B19" s="26" t="s">
        <v>3</v>
      </c>
      <c r="C19" s="27" t="s">
        <v>4</v>
      </c>
      <c r="D19" s="27" t="s">
        <v>5</v>
      </c>
      <c r="E19" s="37" t="s">
        <v>36</v>
      </c>
      <c r="F19" s="26" t="s">
        <v>37</v>
      </c>
      <c r="G19" s="26" t="s">
        <v>43</v>
      </c>
      <c r="H19" s="26" t="s">
        <v>6</v>
      </c>
      <c r="I19" s="27" t="s">
        <v>31</v>
      </c>
      <c r="J19" s="27"/>
      <c r="K19" s="27" t="s">
        <v>32</v>
      </c>
      <c r="L19" s="26" t="s">
        <v>33</v>
      </c>
      <c r="M19" s="40" t="s">
        <v>38</v>
      </c>
    </row>
    <row r="20" spans="1:14" x14ac:dyDescent="0.25">
      <c r="A20" s="68" t="s">
        <v>19</v>
      </c>
      <c r="B20" s="9">
        <v>12</v>
      </c>
      <c r="C20" s="10">
        <v>26000</v>
      </c>
      <c r="D20" s="10">
        <f t="shared" si="5"/>
        <v>2166.6666666666665</v>
      </c>
      <c r="E20" s="35">
        <v>108</v>
      </c>
      <c r="F20" s="63">
        <f>G20*B20</f>
        <v>360</v>
      </c>
      <c r="G20" s="63">
        <v>30</v>
      </c>
      <c r="H20" s="11">
        <f>F20*D20</f>
        <v>780000</v>
      </c>
      <c r="I20" s="12">
        <v>5000</v>
      </c>
      <c r="J20" s="12">
        <f>F20*I20</f>
        <v>1800000</v>
      </c>
      <c r="K20" s="12">
        <f>I20-D20</f>
        <v>2833.3333333333335</v>
      </c>
      <c r="L20" s="13">
        <f>K20/D20</f>
        <v>1.3076923076923079</v>
      </c>
      <c r="M20" s="15">
        <f>K20*F20</f>
        <v>1020000</v>
      </c>
    </row>
    <row r="21" spans="1:14" x14ac:dyDescent="0.25">
      <c r="A21" s="14" t="s">
        <v>21</v>
      </c>
      <c r="B21" s="9">
        <v>12</v>
      </c>
      <c r="C21" s="10">
        <v>16600</v>
      </c>
      <c r="D21" s="10">
        <f t="shared" ref="D21" si="14">C21/B21</f>
        <v>1383.3333333333333</v>
      </c>
      <c r="E21" s="35"/>
      <c r="F21" s="63">
        <f t="shared" ref="F21:F31" si="15">G21*B21</f>
        <v>0</v>
      </c>
      <c r="G21" s="9">
        <v>0</v>
      </c>
      <c r="H21" s="11">
        <f t="shared" ref="H21" si="16">F21*D21</f>
        <v>0</v>
      </c>
      <c r="I21" s="12">
        <v>5000</v>
      </c>
      <c r="J21" s="12">
        <f t="shared" ref="J21:J31" si="17">F21*I21</f>
        <v>0</v>
      </c>
      <c r="K21" s="12"/>
      <c r="L21" s="13"/>
      <c r="M21" s="15">
        <f t="shared" ref="M21:M31" si="18">K21*F21</f>
        <v>0</v>
      </c>
    </row>
    <row r="22" spans="1:14" x14ac:dyDescent="0.25">
      <c r="A22" s="68" t="s">
        <v>20</v>
      </c>
      <c r="B22" s="9">
        <v>12</v>
      </c>
      <c r="C22" s="10">
        <v>23600</v>
      </c>
      <c r="D22" s="10">
        <f t="shared" si="5"/>
        <v>1966.6666666666667</v>
      </c>
      <c r="E22" s="35">
        <v>72</v>
      </c>
      <c r="F22" s="63">
        <f t="shared" si="15"/>
        <v>240</v>
      </c>
      <c r="G22" s="63">
        <v>20</v>
      </c>
      <c r="H22" s="11">
        <f t="shared" ref="H22:H31" si="19">F22*D22</f>
        <v>472000</v>
      </c>
      <c r="I22" s="12">
        <v>5000</v>
      </c>
      <c r="J22" s="12">
        <f t="shared" si="17"/>
        <v>1200000</v>
      </c>
      <c r="K22" s="12">
        <f t="shared" ref="K22:K30" si="20">I22-D22</f>
        <v>3033.333333333333</v>
      </c>
      <c r="L22" s="13">
        <f t="shared" ref="L22:L30" si="21">K22/D22</f>
        <v>1.5423728813559321</v>
      </c>
      <c r="M22" s="15">
        <f t="shared" si="18"/>
        <v>727999.99999999988</v>
      </c>
    </row>
    <row r="23" spans="1:14" x14ac:dyDescent="0.25">
      <c r="A23" s="14" t="s">
        <v>23</v>
      </c>
      <c r="B23" s="9">
        <v>12</v>
      </c>
      <c r="C23" s="10">
        <v>11800</v>
      </c>
      <c r="D23" s="10">
        <f t="shared" si="5"/>
        <v>983.33333333333337</v>
      </c>
      <c r="E23" s="35"/>
      <c r="F23" s="63">
        <f t="shared" si="15"/>
        <v>0</v>
      </c>
      <c r="G23" s="70">
        <v>0</v>
      </c>
      <c r="H23" s="11">
        <f t="shared" si="19"/>
        <v>0</v>
      </c>
      <c r="I23" s="12">
        <v>5000</v>
      </c>
      <c r="J23" s="12">
        <f t="shared" si="17"/>
        <v>0</v>
      </c>
      <c r="K23" s="12">
        <f t="shared" si="20"/>
        <v>4016.6666666666665</v>
      </c>
      <c r="L23" s="13"/>
      <c r="M23" s="15">
        <f t="shared" si="18"/>
        <v>0</v>
      </c>
    </row>
    <row r="24" spans="1:14" x14ac:dyDescent="0.25">
      <c r="A24" s="68" t="s">
        <v>22</v>
      </c>
      <c r="B24" s="9">
        <v>12</v>
      </c>
      <c r="C24" s="10">
        <v>21600</v>
      </c>
      <c r="D24" s="10">
        <f t="shared" si="5"/>
        <v>1800</v>
      </c>
      <c r="E24" s="35"/>
      <c r="F24" s="63">
        <f t="shared" si="15"/>
        <v>240</v>
      </c>
      <c r="G24" s="63">
        <v>20</v>
      </c>
      <c r="H24" s="11">
        <f t="shared" si="19"/>
        <v>432000</v>
      </c>
      <c r="I24" s="12">
        <v>5000</v>
      </c>
      <c r="J24" s="12">
        <f t="shared" si="17"/>
        <v>1200000</v>
      </c>
      <c r="K24" s="12">
        <f t="shared" si="20"/>
        <v>3200</v>
      </c>
      <c r="L24" s="13">
        <f t="shared" si="21"/>
        <v>1.7777777777777777</v>
      </c>
      <c r="M24" s="15">
        <f t="shared" si="18"/>
        <v>768000</v>
      </c>
    </row>
    <row r="25" spans="1:14" x14ac:dyDescent="0.25">
      <c r="A25" s="68" t="s">
        <v>24</v>
      </c>
      <c r="B25" s="9">
        <v>6</v>
      </c>
      <c r="C25" s="10">
        <v>10000</v>
      </c>
      <c r="D25" s="10">
        <f t="shared" si="5"/>
        <v>1666.6666666666667</v>
      </c>
      <c r="E25" s="35"/>
      <c r="F25" s="63">
        <f t="shared" si="15"/>
        <v>180</v>
      </c>
      <c r="G25" s="63">
        <v>30</v>
      </c>
      <c r="H25" s="11">
        <f t="shared" si="19"/>
        <v>300000</v>
      </c>
      <c r="I25" s="12">
        <v>5000</v>
      </c>
      <c r="J25" s="12">
        <f t="shared" si="17"/>
        <v>900000</v>
      </c>
      <c r="K25" s="12">
        <f t="shared" si="20"/>
        <v>3333.333333333333</v>
      </c>
      <c r="L25" s="13">
        <f t="shared" si="21"/>
        <v>1.9999999999999998</v>
      </c>
      <c r="M25" s="15">
        <f t="shared" si="18"/>
        <v>600000</v>
      </c>
    </row>
    <row r="26" spans="1:14" x14ac:dyDescent="0.25">
      <c r="A26" s="14" t="s">
        <v>25</v>
      </c>
      <c r="B26" s="9">
        <v>24</v>
      </c>
      <c r="C26" s="10">
        <v>23100</v>
      </c>
      <c r="D26" s="10">
        <f t="shared" si="5"/>
        <v>962.5</v>
      </c>
      <c r="E26" s="35"/>
      <c r="F26" s="63">
        <f t="shared" si="15"/>
        <v>0</v>
      </c>
      <c r="G26" s="9"/>
      <c r="H26" s="11">
        <f t="shared" si="19"/>
        <v>0</v>
      </c>
      <c r="I26" s="12">
        <v>5000</v>
      </c>
      <c r="J26" s="12">
        <f t="shared" si="17"/>
        <v>0</v>
      </c>
      <c r="K26" s="12">
        <f t="shared" si="20"/>
        <v>4037.5</v>
      </c>
      <c r="L26" s="13"/>
      <c r="M26" s="15">
        <f t="shared" si="18"/>
        <v>0</v>
      </c>
    </row>
    <row r="27" spans="1:14" x14ac:dyDescent="0.25">
      <c r="A27" s="68" t="s">
        <v>26</v>
      </c>
      <c r="B27" s="9">
        <v>24</v>
      </c>
      <c r="C27" s="10">
        <v>27200</v>
      </c>
      <c r="D27" s="10">
        <f t="shared" ref="D27:D31" si="22">C27/B27</f>
        <v>1133.3333333333333</v>
      </c>
      <c r="E27" s="35"/>
      <c r="F27" s="63">
        <f t="shared" si="15"/>
        <v>1200</v>
      </c>
      <c r="G27" s="63">
        <v>50</v>
      </c>
      <c r="H27" s="11">
        <f t="shared" si="19"/>
        <v>1360000</v>
      </c>
      <c r="I27" s="12">
        <v>5000</v>
      </c>
      <c r="J27" s="12">
        <f t="shared" si="17"/>
        <v>6000000</v>
      </c>
      <c r="K27" s="12">
        <f t="shared" si="20"/>
        <v>3866.666666666667</v>
      </c>
      <c r="L27" s="13">
        <f t="shared" si="21"/>
        <v>3.4117647058823533</v>
      </c>
      <c r="M27" s="15">
        <f>K27*F27</f>
        <v>4640000</v>
      </c>
    </row>
    <row r="28" spans="1:14" hidden="1" x14ac:dyDescent="0.25">
      <c r="A28" s="14" t="s">
        <v>27</v>
      </c>
      <c r="B28" s="9">
        <v>6</v>
      </c>
      <c r="C28" s="10">
        <v>15200</v>
      </c>
      <c r="D28" s="10">
        <f t="shared" si="22"/>
        <v>2533.3333333333335</v>
      </c>
      <c r="E28" s="35"/>
      <c r="F28" s="63">
        <f t="shared" si="15"/>
        <v>0</v>
      </c>
      <c r="G28" s="9"/>
      <c r="H28" s="11">
        <f t="shared" si="19"/>
        <v>0</v>
      </c>
      <c r="I28" s="12">
        <v>5000</v>
      </c>
      <c r="J28" s="12">
        <f t="shared" si="17"/>
        <v>0</v>
      </c>
      <c r="K28" s="12">
        <f t="shared" si="20"/>
        <v>2466.6666666666665</v>
      </c>
      <c r="L28" s="13"/>
      <c r="M28" s="15">
        <f t="shared" si="18"/>
        <v>0</v>
      </c>
    </row>
    <row r="29" spans="1:14" x14ac:dyDescent="0.25">
      <c r="A29" s="14" t="s">
        <v>28</v>
      </c>
      <c r="B29" s="9">
        <v>6</v>
      </c>
      <c r="C29" s="10">
        <v>15200</v>
      </c>
      <c r="D29" s="10">
        <f t="shared" si="22"/>
        <v>2533.3333333333335</v>
      </c>
      <c r="E29" s="35"/>
      <c r="F29" s="63">
        <f t="shared" si="15"/>
        <v>0</v>
      </c>
      <c r="G29" s="9"/>
      <c r="H29" s="11">
        <f t="shared" si="19"/>
        <v>0</v>
      </c>
      <c r="I29" s="12">
        <v>5000</v>
      </c>
      <c r="J29" s="12">
        <f t="shared" si="17"/>
        <v>0</v>
      </c>
      <c r="K29" s="12">
        <f t="shared" si="20"/>
        <v>2466.6666666666665</v>
      </c>
      <c r="L29" s="13"/>
      <c r="M29" s="15">
        <f t="shared" si="18"/>
        <v>0</v>
      </c>
    </row>
    <row r="30" spans="1:14" x14ac:dyDescent="0.25">
      <c r="A30" s="68" t="s">
        <v>29</v>
      </c>
      <c r="B30" s="9">
        <v>6</v>
      </c>
      <c r="C30" s="10">
        <v>12800</v>
      </c>
      <c r="D30" s="10">
        <f t="shared" si="22"/>
        <v>2133.3333333333335</v>
      </c>
      <c r="E30" s="35"/>
      <c r="F30" s="63">
        <f t="shared" si="15"/>
        <v>180</v>
      </c>
      <c r="G30" s="63">
        <v>30</v>
      </c>
      <c r="H30" s="11">
        <f t="shared" si="19"/>
        <v>384000</v>
      </c>
      <c r="I30" s="12">
        <v>5000</v>
      </c>
      <c r="J30" s="12">
        <f t="shared" si="17"/>
        <v>900000</v>
      </c>
      <c r="K30" s="12">
        <f t="shared" si="20"/>
        <v>2866.6666666666665</v>
      </c>
      <c r="L30" s="13">
        <f t="shared" si="21"/>
        <v>1.3437499999999998</v>
      </c>
      <c r="M30" s="15">
        <f t="shared" si="18"/>
        <v>516000</v>
      </c>
    </row>
    <row r="31" spans="1:14" ht="15.75" thickBot="1" x14ac:dyDescent="0.3">
      <c r="A31" s="69" t="s">
        <v>64</v>
      </c>
      <c r="B31" s="16">
        <v>6</v>
      </c>
      <c r="C31" s="17">
        <v>12800</v>
      </c>
      <c r="D31" s="17">
        <f t="shared" si="22"/>
        <v>2133.3333333333335</v>
      </c>
      <c r="E31" s="38"/>
      <c r="F31" s="63">
        <f t="shared" si="15"/>
        <v>180</v>
      </c>
      <c r="G31" s="64">
        <v>30</v>
      </c>
      <c r="H31" s="19">
        <f t="shared" si="19"/>
        <v>384000</v>
      </c>
      <c r="I31" s="12">
        <v>5000</v>
      </c>
      <c r="J31" s="12">
        <f t="shared" si="17"/>
        <v>900000</v>
      </c>
      <c r="K31" s="20">
        <f>I31-D31</f>
        <v>2866.6666666666665</v>
      </c>
      <c r="L31" s="21">
        <f>K31/D31</f>
        <v>1.3437499999999998</v>
      </c>
      <c r="M31" s="15">
        <f t="shared" si="18"/>
        <v>516000</v>
      </c>
    </row>
    <row r="32" spans="1:14" ht="15.75" thickBot="1" x14ac:dyDescent="0.3">
      <c r="F32" s="1">
        <f>SUM(F20:F31)</f>
        <v>2580</v>
      </c>
      <c r="H32" s="22">
        <f>SUM(H20:H31)</f>
        <v>4112000</v>
      </c>
      <c r="I32" s="23"/>
      <c r="J32" s="23">
        <f>J20+J21+J22+J23+J24+J25+J26+J27+J29+J30+J31</f>
        <v>12900000</v>
      </c>
      <c r="K32" s="23"/>
      <c r="L32" s="24"/>
      <c r="M32" s="32">
        <f>SUM(M20:M31)</f>
        <v>8788000</v>
      </c>
    </row>
    <row r="33" spans="1:13" ht="30" customHeight="1" thickBot="1" x14ac:dyDescent="0.3">
      <c r="A33" s="91" t="s">
        <v>51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</row>
    <row r="34" spans="1:13" x14ac:dyDescent="0.25">
      <c r="A34" s="72" t="s">
        <v>2</v>
      </c>
      <c r="B34" s="73" t="s">
        <v>3</v>
      </c>
      <c r="C34" s="74" t="s">
        <v>4</v>
      </c>
      <c r="D34" s="74" t="s">
        <v>5</v>
      </c>
      <c r="E34" s="75" t="s">
        <v>36</v>
      </c>
      <c r="F34" s="73" t="s">
        <v>37</v>
      </c>
      <c r="G34" s="73" t="s">
        <v>43</v>
      </c>
      <c r="H34" s="73" t="s">
        <v>6</v>
      </c>
      <c r="I34" s="74" t="s">
        <v>31</v>
      </c>
      <c r="J34" s="74"/>
      <c r="K34" s="74" t="s">
        <v>32</v>
      </c>
      <c r="L34" s="73" t="s">
        <v>33</v>
      </c>
      <c r="M34" s="76" t="s">
        <v>38</v>
      </c>
    </row>
    <row r="35" spans="1:13" x14ac:dyDescent="0.25">
      <c r="A35" s="68" t="s">
        <v>19</v>
      </c>
      <c r="B35" s="9">
        <v>12</v>
      </c>
      <c r="C35" s="10">
        <v>30000</v>
      </c>
      <c r="D35" s="10">
        <f t="shared" ref="D35:D45" si="23">C35/B35</f>
        <v>2500</v>
      </c>
      <c r="E35" s="35">
        <v>108</v>
      </c>
      <c r="F35" s="63">
        <f>G35*B35</f>
        <v>192</v>
      </c>
      <c r="G35" s="63">
        <v>16</v>
      </c>
      <c r="H35" s="11">
        <f>F35*D35</f>
        <v>480000</v>
      </c>
      <c r="I35" s="12">
        <v>5000</v>
      </c>
      <c r="J35" s="12"/>
      <c r="K35" s="12">
        <f>I35-D35</f>
        <v>2500</v>
      </c>
      <c r="L35" s="13">
        <f>K35/D35</f>
        <v>1</v>
      </c>
      <c r="M35" s="15">
        <f>K35*F35</f>
        <v>480000</v>
      </c>
    </row>
    <row r="36" spans="1:13" hidden="1" x14ac:dyDescent="0.25">
      <c r="A36" s="14" t="s">
        <v>21</v>
      </c>
      <c r="B36" s="9">
        <v>12</v>
      </c>
      <c r="C36" s="10">
        <v>16600</v>
      </c>
      <c r="D36" s="10">
        <f t="shared" si="23"/>
        <v>1383.3333333333333</v>
      </c>
      <c r="E36" s="35"/>
      <c r="F36" s="63">
        <f t="shared" ref="F36:F45" si="24">G36*B36</f>
        <v>0</v>
      </c>
      <c r="G36" s="9">
        <v>0</v>
      </c>
      <c r="H36" s="11">
        <f t="shared" ref="H36:H45" si="25">F36*D36</f>
        <v>0</v>
      </c>
      <c r="I36" s="12">
        <v>5000</v>
      </c>
      <c r="J36" s="12"/>
      <c r="K36" s="12"/>
      <c r="L36" s="13"/>
      <c r="M36" s="15">
        <f t="shared" ref="M36:M40" si="26">K36*F36</f>
        <v>0</v>
      </c>
    </row>
    <row r="37" spans="1:13" hidden="1" x14ac:dyDescent="0.25">
      <c r="A37" s="14" t="s">
        <v>23</v>
      </c>
      <c r="B37" s="9">
        <v>12</v>
      </c>
      <c r="C37" s="10">
        <v>11800</v>
      </c>
      <c r="D37" s="10">
        <f t="shared" si="23"/>
        <v>983.33333333333337</v>
      </c>
      <c r="E37" s="35"/>
      <c r="F37" s="63">
        <f t="shared" ca="1" si="24"/>
        <v>192</v>
      </c>
      <c r="G37" s="70">
        <f t="shared" ref="G37" ca="1" si="27">F37/B37</f>
        <v>0</v>
      </c>
      <c r="H37" s="11">
        <f t="shared" ca="1" si="25"/>
        <v>0</v>
      </c>
      <c r="I37" s="12">
        <v>5000</v>
      </c>
      <c r="J37" s="12"/>
      <c r="K37" s="12">
        <f t="shared" ref="K37:K44" si="28">I37-D37</f>
        <v>4016.6666666666665</v>
      </c>
      <c r="L37" s="13"/>
      <c r="M37" s="15">
        <f t="shared" ca="1" si="26"/>
        <v>0</v>
      </c>
    </row>
    <row r="38" spans="1:13" x14ac:dyDescent="0.25">
      <c r="A38" s="68" t="s">
        <v>22</v>
      </c>
      <c r="B38" s="9">
        <v>12</v>
      </c>
      <c r="C38" s="10">
        <v>25000</v>
      </c>
      <c r="D38" s="10">
        <f t="shared" si="23"/>
        <v>2083.3333333333335</v>
      </c>
      <c r="E38" s="35"/>
      <c r="F38" s="63">
        <f t="shared" si="24"/>
        <v>24</v>
      </c>
      <c r="G38" s="63">
        <v>2</v>
      </c>
      <c r="H38" s="11">
        <f t="shared" si="25"/>
        <v>50000</v>
      </c>
      <c r="I38" s="12">
        <v>5000</v>
      </c>
      <c r="J38" s="12"/>
      <c r="K38" s="12">
        <f t="shared" si="28"/>
        <v>2916.6666666666665</v>
      </c>
      <c r="L38" s="13">
        <f t="shared" ref="L38:L39" si="29">K38/D38</f>
        <v>1.4</v>
      </c>
      <c r="M38" s="15">
        <f t="shared" si="26"/>
        <v>70000</v>
      </c>
    </row>
    <row r="39" spans="1:13" x14ac:dyDescent="0.25">
      <c r="A39" s="68" t="s">
        <v>52</v>
      </c>
      <c r="B39" s="9">
        <v>15</v>
      </c>
      <c r="C39" s="10">
        <v>32000</v>
      </c>
      <c r="D39" s="10">
        <f t="shared" si="23"/>
        <v>2133.3333333333335</v>
      </c>
      <c r="E39" s="35"/>
      <c r="F39" s="63">
        <f t="shared" si="24"/>
        <v>30</v>
      </c>
      <c r="G39" s="63">
        <v>2</v>
      </c>
      <c r="H39" s="11">
        <f t="shared" si="25"/>
        <v>64000.000000000007</v>
      </c>
      <c r="I39" s="12">
        <v>5000</v>
      </c>
      <c r="J39" s="12"/>
      <c r="K39" s="12">
        <f t="shared" si="28"/>
        <v>2866.6666666666665</v>
      </c>
      <c r="L39" s="13">
        <f t="shared" si="29"/>
        <v>1.3437499999999998</v>
      </c>
      <c r="M39" s="15">
        <f t="shared" si="26"/>
        <v>86000</v>
      </c>
    </row>
    <row r="40" spans="1:13" hidden="1" x14ac:dyDescent="0.25">
      <c r="A40" s="14" t="s">
        <v>25</v>
      </c>
      <c r="B40" s="9">
        <v>24</v>
      </c>
      <c r="C40" s="10">
        <v>23100</v>
      </c>
      <c r="D40" s="10">
        <f t="shared" si="23"/>
        <v>962.5</v>
      </c>
      <c r="E40" s="35"/>
      <c r="F40" s="63">
        <f t="shared" si="24"/>
        <v>0</v>
      </c>
      <c r="G40" s="9"/>
      <c r="H40" s="11">
        <f t="shared" si="25"/>
        <v>0</v>
      </c>
      <c r="I40" s="12">
        <v>5000</v>
      </c>
      <c r="J40" s="12"/>
      <c r="K40" s="12">
        <f t="shared" si="28"/>
        <v>4037.5</v>
      </c>
      <c r="L40" s="13"/>
      <c r="M40" s="15">
        <f t="shared" si="26"/>
        <v>0</v>
      </c>
    </row>
    <row r="41" spans="1:13" x14ac:dyDescent="0.25">
      <c r="A41" s="68" t="s">
        <v>53</v>
      </c>
      <c r="B41" s="9">
        <v>12</v>
      </c>
      <c r="C41" s="10">
        <v>30000</v>
      </c>
      <c r="D41" s="10">
        <f t="shared" si="23"/>
        <v>2500</v>
      </c>
      <c r="E41" s="35"/>
      <c r="F41" s="63">
        <f t="shared" si="24"/>
        <v>60</v>
      </c>
      <c r="G41" s="63">
        <v>5</v>
      </c>
      <c r="H41" s="11">
        <f t="shared" si="25"/>
        <v>150000</v>
      </c>
      <c r="I41" s="12">
        <v>5000</v>
      </c>
      <c r="J41" s="12"/>
      <c r="K41" s="12">
        <f t="shared" si="28"/>
        <v>2500</v>
      </c>
      <c r="L41" s="13">
        <f t="shared" ref="L41" si="30">K41/D41</f>
        <v>1</v>
      </c>
      <c r="M41" s="15">
        <f>K41*F41</f>
        <v>150000</v>
      </c>
    </row>
    <row r="42" spans="1:13" hidden="1" x14ac:dyDescent="0.25">
      <c r="A42" s="14" t="s">
        <v>27</v>
      </c>
      <c r="B42" s="9">
        <v>6</v>
      </c>
      <c r="C42" s="10">
        <v>15200</v>
      </c>
      <c r="D42" s="10">
        <f t="shared" si="23"/>
        <v>2533.3333333333335</v>
      </c>
      <c r="E42" s="35"/>
      <c r="F42" s="63">
        <f t="shared" si="24"/>
        <v>0</v>
      </c>
      <c r="G42" s="9"/>
      <c r="H42" s="11">
        <f t="shared" si="25"/>
        <v>0</v>
      </c>
      <c r="I42" s="12">
        <v>5000</v>
      </c>
      <c r="J42" s="12"/>
      <c r="K42" s="12">
        <f t="shared" si="28"/>
        <v>2466.6666666666665</v>
      </c>
      <c r="L42" s="13"/>
      <c r="M42" s="15">
        <f t="shared" ref="M42:M45" si="31">K42*F42</f>
        <v>0</v>
      </c>
    </row>
    <row r="43" spans="1:13" hidden="1" x14ac:dyDescent="0.25">
      <c r="A43" s="14" t="s">
        <v>28</v>
      </c>
      <c r="B43" s="9">
        <v>6</v>
      </c>
      <c r="C43" s="10">
        <v>15200</v>
      </c>
      <c r="D43" s="10">
        <f t="shared" si="23"/>
        <v>2533.3333333333335</v>
      </c>
      <c r="E43" s="35"/>
      <c r="F43" s="63">
        <f t="shared" si="24"/>
        <v>0</v>
      </c>
      <c r="G43" s="9"/>
      <c r="H43" s="11">
        <f t="shared" si="25"/>
        <v>0</v>
      </c>
      <c r="I43" s="12">
        <v>5000</v>
      </c>
      <c r="J43" s="12"/>
      <c r="K43" s="12">
        <f t="shared" si="28"/>
        <v>2466.6666666666665</v>
      </c>
      <c r="L43" s="13"/>
      <c r="M43" s="15">
        <f t="shared" si="31"/>
        <v>0</v>
      </c>
    </row>
    <row r="44" spans="1:13" x14ac:dyDescent="0.25">
      <c r="A44" s="68" t="s">
        <v>54</v>
      </c>
      <c r="B44" s="9">
        <v>12</v>
      </c>
      <c r="C44" s="10">
        <v>25000</v>
      </c>
      <c r="D44" s="10">
        <f t="shared" si="23"/>
        <v>2083.3333333333335</v>
      </c>
      <c r="E44" s="35"/>
      <c r="F44" s="63">
        <f t="shared" si="24"/>
        <v>60</v>
      </c>
      <c r="G44" s="63">
        <v>5</v>
      </c>
      <c r="H44" s="11">
        <f t="shared" si="25"/>
        <v>125000.00000000001</v>
      </c>
      <c r="I44" s="12">
        <v>5000</v>
      </c>
      <c r="J44" s="12"/>
      <c r="K44" s="12">
        <f t="shared" si="28"/>
        <v>2916.6666666666665</v>
      </c>
      <c r="L44" s="13">
        <f t="shared" ref="L44" si="32">K44/D44</f>
        <v>1.4</v>
      </c>
      <c r="M44" s="15">
        <f t="shared" si="31"/>
        <v>175000</v>
      </c>
    </row>
    <row r="45" spans="1:13" ht="15.75" thickBot="1" x14ac:dyDescent="0.3">
      <c r="A45" s="69" t="s">
        <v>55</v>
      </c>
      <c r="B45" s="16">
        <v>24</v>
      </c>
      <c r="C45" s="17">
        <v>32000</v>
      </c>
      <c r="D45" s="17">
        <f t="shared" si="23"/>
        <v>1333.3333333333333</v>
      </c>
      <c r="E45" s="38"/>
      <c r="F45" s="63">
        <f t="shared" si="24"/>
        <v>192</v>
      </c>
      <c r="G45" s="64">
        <v>8</v>
      </c>
      <c r="H45" s="19">
        <f t="shared" si="25"/>
        <v>256000</v>
      </c>
      <c r="I45" s="12">
        <v>5000</v>
      </c>
      <c r="J45" s="20"/>
      <c r="K45" s="20">
        <f>I45-D45</f>
        <v>3666.666666666667</v>
      </c>
      <c r="L45" s="21">
        <f>K45/D45</f>
        <v>2.7500000000000004</v>
      </c>
      <c r="M45" s="15">
        <f t="shared" si="31"/>
        <v>704000</v>
      </c>
    </row>
    <row r="46" spans="1:13" x14ac:dyDescent="0.25">
      <c r="A46" s="69" t="s">
        <v>56</v>
      </c>
      <c r="B46" s="16">
        <v>24</v>
      </c>
      <c r="C46" s="17">
        <v>36000</v>
      </c>
      <c r="D46" s="17">
        <f t="shared" ref="D46" si="33">C46/B46</f>
        <v>1500</v>
      </c>
      <c r="E46" s="38"/>
      <c r="F46" s="63">
        <f t="shared" ref="F46" si="34">G46*B46</f>
        <v>48</v>
      </c>
      <c r="G46" s="64">
        <v>2</v>
      </c>
      <c r="H46" s="19">
        <f t="shared" ref="H46" si="35">F46*D46</f>
        <v>72000</v>
      </c>
      <c r="I46" s="12">
        <v>5000</v>
      </c>
      <c r="J46" s="20"/>
      <c r="K46" s="20">
        <f>I46-D46</f>
        <v>3500</v>
      </c>
      <c r="L46" s="21">
        <f>K46/D46</f>
        <v>2.3333333333333335</v>
      </c>
      <c r="M46" s="15">
        <f t="shared" ref="M46" si="36">K46*F46</f>
        <v>168000</v>
      </c>
    </row>
    <row r="47" spans="1:13" ht="15.75" thickBot="1" x14ac:dyDescent="0.3">
      <c r="H47" s="22">
        <v>1200000</v>
      </c>
      <c r="I47" s="23"/>
      <c r="J47" s="23"/>
      <c r="K47" s="23"/>
      <c r="L47" s="24"/>
      <c r="M47" s="32">
        <f>M35+M38+M39+M41+M44+M45+M46</f>
        <v>1833000</v>
      </c>
    </row>
    <row r="48" spans="1:13" ht="30" customHeight="1" thickBot="1" x14ac:dyDescent="0.3">
      <c r="A48" s="79" t="s">
        <v>59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1"/>
    </row>
    <row r="49" spans="1:13" x14ac:dyDescent="0.25">
      <c r="A49" s="58" t="s">
        <v>2</v>
      </c>
      <c r="B49" s="59" t="s">
        <v>3</v>
      </c>
      <c r="C49" s="60" t="s">
        <v>4</v>
      </c>
      <c r="D49" s="60" t="s">
        <v>5</v>
      </c>
      <c r="E49" s="61" t="s">
        <v>36</v>
      </c>
      <c r="F49" s="59" t="s">
        <v>37</v>
      </c>
      <c r="G49" s="59" t="s">
        <v>43</v>
      </c>
      <c r="H49" s="59" t="s">
        <v>6</v>
      </c>
      <c r="I49" s="60" t="s">
        <v>31</v>
      </c>
      <c r="J49" s="60"/>
      <c r="K49" s="60" t="s">
        <v>32</v>
      </c>
      <c r="L49" s="59" t="s">
        <v>33</v>
      </c>
      <c r="M49" s="62" t="s">
        <v>38</v>
      </c>
    </row>
    <row r="50" spans="1:13" x14ac:dyDescent="0.25">
      <c r="A50" s="68" t="s">
        <v>58</v>
      </c>
      <c r="B50" s="9"/>
      <c r="D50" s="10" t="e">
        <f t="shared" ref="D50:D61" si="37">C51/B50</f>
        <v>#DIV/0!</v>
      </c>
      <c r="E50" s="35">
        <v>108</v>
      </c>
      <c r="F50" s="63">
        <f>G50*B50</f>
        <v>0</v>
      </c>
      <c r="G50" s="63">
        <v>16</v>
      </c>
      <c r="H50" s="11" t="e">
        <f>F50*D50</f>
        <v>#DIV/0!</v>
      </c>
      <c r="I50" s="12">
        <v>5000</v>
      </c>
      <c r="J50" s="12"/>
      <c r="K50" s="12" t="e">
        <f>I50-D50</f>
        <v>#DIV/0!</v>
      </c>
      <c r="L50" s="13" t="e">
        <f>K50/D50</f>
        <v>#DIV/0!</v>
      </c>
      <c r="M50" s="15" t="e">
        <f>K50*F50</f>
        <v>#DIV/0!</v>
      </c>
    </row>
    <row r="51" spans="1:13" hidden="1" x14ac:dyDescent="0.25">
      <c r="A51" s="14"/>
      <c r="B51" s="9"/>
      <c r="C51" s="10"/>
      <c r="D51" s="10" t="e">
        <f t="shared" si="37"/>
        <v>#DIV/0!</v>
      </c>
      <c r="E51" s="35"/>
      <c r="F51" s="63">
        <f t="shared" ref="F51:F61" si="38">G51*B51</f>
        <v>0</v>
      </c>
      <c r="G51" s="9">
        <v>0</v>
      </c>
      <c r="H51" s="11" t="e">
        <f t="shared" ref="H51:H61" si="39">F51*D51</f>
        <v>#DIV/0!</v>
      </c>
      <c r="I51" s="12">
        <v>5000</v>
      </c>
      <c r="J51" s="12"/>
      <c r="K51" s="12"/>
      <c r="L51" s="13"/>
      <c r="M51" s="15">
        <f t="shared" ref="M51:M55" si="40">K51*F51</f>
        <v>0</v>
      </c>
    </row>
    <row r="52" spans="1:13" hidden="1" x14ac:dyDescent="0.25">
      <c r="A52" s="14"/>
      <c r="B52" s="9"/>
      <c r="C52" s="10"/>
      <c r="D52" s="10" t="e">
        <f t="shared" si="37"/>
        <v>#DIV/0!</v>
      </c>
      <c r="E52" s="35"/>
      <c r="F52" s="63">
        <f t="shared" ca="1" si="38"/>
        <v>192</v>
      </c>
      <c r="G52" s="70">
        <f t="shared" ref="G52" ca="1" si="41">F52/B52</f>
        <v>0</v>
      </c>
      <c r="H52" s="11">
        <f t="shared" ca="1" si="39"/>
        <v>0</v>
      </c>
      <c r="I52" s="12">
        <v>5000</v>
      </c>
      <c r="J52" s="12"/>
      <c r="K52" s="12" t="e">
        <f t="shared" ref="K52:K59" si="42">I52-D52</f>
        <v>#DIV/0!</v>
      </c>
      <c r="L52" s="13"/>
      <c r="M52" s="15">
        <f t="shared" ca="1" si="40"/>
        <v>0</v>
      </c>
    </row>
    <row r="53" spans="1:13" x14ac:dyDescent="0.25">
      <c r="A53" s="68"/>
      <c r="B53" s="9"/>
      <c r="C53" s="10"/>
      <c r="D53" s="10" t="e">
        <f t="shared" si="37"/>
        <v>#DIV/0!</v>
      </c>
      <c r="E53" s="35"/>
      <c r="F53" s="63">
        <f t="shared" si="38"/>
        <v>0</v>
      </c>
      <c r="G53" s="63">
        <v>2</v>
      </c>
      <c r="H53" s="11" t="e">
        <f t="shared" si="39"/>
        <v>#DIV/0!</v>
      </c>
      <c r="I53" s="12">
        <v>5000</v>
      </c>
      <c r="J53" s="12"/>
      <c r="K53" s="12" t="e">
        <f t="shared" si="42"/>
        <v>#DIV/0!</v>
      </c>
      <c r="L53" s="13" t="e">
        <f t="shared" ref="L53:L54" si="43">K53/D53</f>
        <v>#DIV/0!</v>
      </c>
      <c r="M53" s="15" t="e">
        <f t="shared" si="40"/>
        <v>#DIV/0!</v>
      </c>
    </row>
    <row r="54" spans="1:13" x14ac:dyDescent="0.25">
      <c r="A54" s="68"/>
      <c r="B54" s="9"/>
      <c r="C54" s="10"/>
      <c r="D54" s="10" t="e">
        <f t="shared" si="37"/>
        <v>#DIV/0!</v>
      </c>
      <c r="E54" s="35"/>
      <c r="F54" s="63">
        <f t="shared" si="38"/>
        <v>0</v>
      </c>
      <c r="G54" s="63">
        <v>2</v>
      </c>
      <c r="H54" s="11" t="e">
        <f t="shared" si="39"/>
        <v>#DIV/0!</v>
      </c>
      <c r="I54" s="12">
        <v>5000</v>
      </c>
      <c r="J54" s="12"/>
      <c r="K54" s="12" t="e">
        <f t="shared" si="42"/>
        <v>#DIV/0!</v>
      </c>
      <c r="L54" s="13" t="e">
        <f t="shared" si="43"/>
        <v>#DIV/0!</v>
      </c>
      <c r="M54" s="15" t="e">
        <f t="shared" si="40"/>
        <v>#DIV/0!</v>
      </c>
    </row>
    <row r="55" spans="1:13" hidden="1" x14ac:dyDescent="0.25">
      <c r="A55" s="14"/>
      <c r="B55" s="9"/>
      <c r="C55" s="10"/>
      <c r="D55" s="10" t="e">
        <f t="shared" si="37"/>
        <v>#DIV/0!</v>
      </c>
      <c r="E55" s="35"/>
      <c r="F55" s="63">
        <f t="shared" si="38"/>
        <v>0</v>
      </c>
      <c r="G55" s="9"/>
      <c r="H55" s="11" t="e">
        <f t="shared" si="39"/>
        <v>#DIV/0!</v>
      </c>
      <c r="I55" s="12">
        <v>5000</v>
      </c>
      <c r="J55" s="12"/>
      <c r="K55" s="12" t="e">
        <f t="shared" si="42"/>
        <v>#DIV/0!</v>
      </c>
      <c r="L55" s="13"/>
      <c r="M55" s="15" t="e">
        <f t="shared" si="40"/>
        <v>#DIV/0!</v>
      </c>
    </row>
    <row r="56" spans="1:13" x14ac:dyDescent="0.25">
      <c r="A56" s="68"/>
      <c r="B56" s="9"/>
      <c r="C56" s="10"/>
      <c r="D56" s="10" t="e">
        <f t="shared" si="37"/>
        <v>#DIV/0!</v>
      </c>
      <c r="E56" s="35"/>
      <c r="F56" s="63">
        <f t="shared" si="38"/>
        <v>0</v>
      </c>
      <c r="G56" s="63">
        <v>5</v>
      </c>
      <c r="H56" s="11" t="e">
        <f t="shared" si="39"/>
        <v>#DIV/0!</v>
      </c>
      <c r="I56" s="12">
        <v>5000</v>
      </c>
      <c r="J56" s="12"/>
      <c r="K56" s="12" t="e">
        <f t="shared" si="42"/>
        <v>#DIV/0!</v>
      </c>
      <c r="L56" s="13" t="e">
        <f t="shared" ref="L56" si="44">K56/D56</f>
        <v>#DIV/0!</v>
      </c>
      <c r="M56" s="15" t="e">
        <f>K56*F56</f>
        <v>#DIV/0!</v>
      </c>
    </row>
    <row r="57" spans="1:13" hidden="1" x14ac:dyDescent="0.25">
      <c r="A57" s="14"/>
      <c r="B57" s="9"/>
      <c r="C57" s="10"/>
      <c r="D57" s="10" t="e">
        <f t="shared" si="37"/>
        <v>#DIV/0!</v>
      </c>
      <c r="E57" s="35"/>
      <c r="F57" s="63">
        <f t="shared" si="38"/>
        <v>0</v>
      </c>
      <c r="G57" s="9"/>
      <c r="H57" s="11" t="e">
        <f t="shared" si="39"/>
        <v>#DIV/0!</v>
      </c>
      <c r="I57" s="12">
        <v>5000</v>
      </c>
      <c r="J57" s="12"/>
      <c r="K57" s="12" t="e">
        <f t="shared" si="42"/>
        <v>#DIV/0!</v>
      </c>
      <c r="L57" s="13"/>
      <c r="M57" s="15" t="e">
        <f t="shared" ref="M57:M61" si="45">K57*F57</f>
        <v>#DIV/0!</v>
      </c>
    </row>
    <row r="58" spans="1:13" hidden="1" x14ac:dyDescent="0.25">
      <c r="A58" s="14"/>
      <c r="B58" s="9"/>
      <c r="C58" s="10"/>
      <c r="D58" s="10" t="e">
        <f t="shared" si="37"/>
        <v>#DIV/0!</v>
      </c>
      <c r="E58" s="35"/>
      <c r="F58" s="63">
        <f t="shared" si="38"/>
        <v>0</v>
      </c>
      <c r="G58" s="9"/>
      <c r="H58" s="11" t="e">
        <f t="shared" si="39"/>
        <v>#DIV/0!</v>
      </c>
      <c r="I58" s="12">
        <v>5000</v>
      </c>
      <c r="J58" s="12"/>
      <c r="K58" s="12" t="e">
        <f t="shared" si="42"/>
        <v>#DIV/0!</v>
      </c>
      <c r="L58" s="13"/>
      <c r="M58" s="15" t="e">
        <f t="shared" si="45"/>
        <v>#DIV/0!</v>
      </c>
    </row>
    <row r="59" spans="1:13" x14ac:dyDescent="0.25">
      <c r="A59" s="68"/>
      <c r="B59" s="9"/>
      <c r="C59" s="10"/>
      <c r="D59" s="10" t="e">
        <f t="shared" si="37"/>
        <v>#DIV/0!</v>
      </c>
      <c r="E59" s="35"/>
      <c r="F59" s="63">
        <f t="shared" si="38"/>
        <v>0</v>
      </c>
      <c r="G59" s="63">
        <v>5</v>
      </c>
      <c r="H59" s="11" t="e">
        <f t="shared" si="39"/>
        <v>#DIV/0!</v>
      </c>
      <c r="I59" s="12">
        <v>5000</v>
      </c>
      <c r="J59" s="12"/>
      <c r="K59" s="12" t="e">
        <f t="shared" si="42"/>
        <v>#DIV/0!</v>
      </c>
      <c r="L59" s="13" t="e">
        <f t="shared" ref="L59" si="46">K59/D59</f>
        <v>#DIV/0!</v>
      </c>
      <c r="M59" s="15" t="e">
        <f t="shared" si="45"/>
        <v>#DIV/0!</v>
      </c>
    </row>
    <row r="60" spans="1:13" ht="15.75" thickBot="1" x14ac:dyDescent="0.3">
      <c r="A60" s="69"/>
      <c r="B60" s="16"/>
      <c r="C60" s="10"/>
      <c r="D60" s="17" t="e">
        <f t="shared" si="37"/>
        <v>#DIV/0!</v>
      </c>
      <c r="E60" s="38"/>
      <c r="F60" s="63">
        <f t="shared" si="38"/>
        <v>0</v>
      </c>
      <c r="G60" s="64">
        <v>8</v>
      </c>
      <c r="H60" s="19" t="e">
        <f t="shared" si="39"/>
        <v>#DIV/0!</v>
      </c>
      <c r="I60" s="12">
        <v>5000</v>
      </c>
      <c r="J60" s="20"/>
      <c r="K60" s="20" t="e">
        <f>I60-D60</f>
        <v>#DIV/0!</v>
      </c>
      <c r="L60" s="21" t="e">
        <f>K60/D60</f>
        <v>#DIV/0!</v>
      </c>
      <c r="M60" s="15" t="e">
        <f t="shared" si="45"/>
        <v>#DIV/0!</v>
      </c>
    </row>
    <row r="61" spans="1:13" ht="15.75" thickBot="1" x14ac:dyDescent="0.3">
      <c r="A61" s="69"/>
      <c r="B61" s="16"/>
      <c r="C61" s="17"/>
      <c r="D61" s="17" t="e">
        <f t="shared" si="37"/>
        <v>#DIV/0!</v>
      </c>
      <c r="E61" s="38"/>
      <c r="F61" s="63">
        <f t="shared" si="38"/>
        <v>0</v>
      </c>
      <c r="G61" s="64">
        <v>2</v>
      </c>
      <c r="H61" s="19" t="e">
        <f t="shared" si="39"/>
        <v>#DIV/0!</v>
      </c>
      <c r="I61" s="12">
        <v>5000</v>
      </c>
      <c r="J61" s="20"/>
      <c r="K61" s="20" t="e">
        <f>I61-D61</f>
        <v>#DIV/0!</v>
      </c>
      <c r="L61" s="21" t="e">
        <f>K61/D61</f>
        <v>#DIV/0!</v>
      </c>
      <c r="M61" s="15" t="e">
        <f t="shared" si="45"/>
        <v>#DIV/0!</v>
      </c>
    </row>
    <row r="62" spans="1:13" ht="15.75" thickBot="1" x14ac:dyDescent="0.3">
      <c r="C62" s="17"/>
      <c r="H62" s="22">
        <v>1200000</v>
      </c>
      <c r="I62" s="23"/>
      <c r="J62" s="23"/>
      <c r="K62" s="23"/>
      <c r="L62" s="24"/>
      <c r="M62" s="32" t="e">
        <f>M50+M53+M54+M56+M59+M60+M61</f>
        <v>#DIV/0!</v>
      </c>
    </row>
    <row r="64" spans="1:13" x14ac:dyDescent="0.25">
      <c r="A64" s="1" t="s">
        <v>60</v>
      </c>
    </row>
    <row r="65" spans="1:13" ht="15.75" thickBot="1" x14ac:dyDescent="0.3">
      <c r="A65" s="78" t="s">
        <v>61</v>
      </c>
    </row>
    <row r="66" spans="1:13" ht="15.75" thickBot="1" x14ac:dyDescent="0.3">
      <c r="A66" s="78" t="s">
        <v>62</v>
      </c>
      <c r="G66" s="44" t="s">
        <v>39</v>
      </c>
      <c r="H66" s="42">
        <f>H17+H32</f>
        <v>31431950</v>
      </c>
      <c r="I66" s="45"/>
      <c r="J66" s="65"/>
      <c r="K66" s="41"/>
      <c r="L66" s="46" t="s">
        <v>40</v>
      </c>
      <c r="M66" s="43">
        <f>M17+M32</f>
        <v>47918050</v>
      </c>
    </row>
    <row r="67" spans="1:13" ht="15.75" thickBot="1" x14ac:dyDescent="0.3">
      <c r="A67" s="78" t="s">
        <v>63</v>
      </c>
      <c r="G67" s="44" t="s">
        <v>41</v>
      </c>
      <c r="H67" s="42">
        <f>H66/2</f>
        <v>15715975</v>
      </c>
      <c r="I67" s="4"/>
      <c r="J67" s="4"/>
      <c r="K67" s="4"/>
      <c r="L67" s="47" t="s">
        <v>42</v>
      </c>
      <c r="M67" s="43">
        <f>M66/2</f>
        <v>23959025</v>
      </c>
    </row>
    <row r="68" spans="1:13" ht="15.75" thickBot="1" x14ac:dyDescent="0.3"/>
    <row r="69" spans="1:13" x14ac:dyDescent="0.25">
      <c r="A69" s="48" t="s">
        <v>44</v>
      </c>
      <c r="B69" s="49" t="s">
        <v>1</v>
      </c>
      <c r="C69" s="50" t="s">
        <v>18</v>
      </c>
      <c r="D69" s="51" t="s">
        <v>57</v>
      </c>
    </row>
    <row r="70" spans="1:13" x14ac:dyDescent="0.25">
      <c r="A70" s="14" t="s">
        <v>45</v>
      </c>
      <c r="B70" s="97">
        <f>SUM(F4:F12)</f>
        <v>3330</v>
      </c>
      <c r="C70" s="35">
        <f>SUM(F20:F31)</f>
        <v>2580</v>
      </c>
      <c r="D70" s="77">
        <v>0</v>
      </c>
    </row>
    <row r="71" spans="1:13" ht="15.75" thickBot="1" x14ac:dyDescent="0.3">
      <c r="A71" s="52" t="s">
        <v>46</v>
      </c>
      <c r="B71" s="53">
        <f>SUM(F13:F15)</f>
        <v>9600</v>
      </c>
      <c r="C71" s="54"/>
      <c r="D71" s="55"/>
    </row>
    <row r="72" spans="1:13" ht="15.75" thickBot="1" x14ac:dyDescent="0.3">
      <c r="A72" s="56" t="s">
        <v>47</v>
      </c>
      <c r="B72" s="98">
        <f>B70+B71</f>
        <v>12930</v>
      </c>
      <c r="C72" s="57">
        <f>C71+C70</f>
        <v>2580</v>
      </c>
      <c r="D72" s="99">
        <f>B72+C72+D70</f>
        <v>15510</v>
      </c>
    </row>
  </sheetData>
  <mergeCells count="5">
    <mergeCell ref="A48:M48"/>
    <mergeCell ref="A18:M18"/>
    <mergeCell ref="A2:M2"/>
    <mergeCell ref="A1:M1"/>
    <mergeCell ref="A33:M33"/>
  </mergeCells>
  <pageMargins left="0.7" right="0.7" top="0.75" bottom="0.75" header="0.3" footer="0.3"/>
  <pageSetup paperSize="9" scale="6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Mgs Comercial</dc:creator>
  <cp:lastModifiedBy>Lorcy Atencio</cp:lastModifiedBy>
  <cp:lastPrinted>2026-04-10T19:50:06Z</cp:lastPrinted>
  <dcterms:created xsi:type="dcterms:W3CDTF">2026-03-09T16:10:45Z</dcterms:created>
  <dcterms:modified xsi:type="dcterms:W3CDTF">2026-09-08T15:59:16Z</dcterms:modified>
</cp:coreProperties>
</file>